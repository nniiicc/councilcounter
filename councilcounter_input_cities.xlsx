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chive Census" sheetId="1" state="visible" r:id="rId3"/>
    <sheet name="Coverage Summary" sheetId="2" state="visible" r:id="rId4"/>
    <sheet name="URL Corrections" sheetId="3" state="visible" r:id="rId5"/>
    <sheet name="Legend" sheetId="4" state="visible" r:id="rId6"/>
  </sheets>
  <definedNames>
    <definedName function="false" hidden="true" localSheetId="0" name="_xlnm._FilterDatabase" vbProcedure="false">'Archive Census'!$A$1:$L$65</definedName>
    <definedName function="false" hidden="true" localSheetId="2" name="_xlnm._FilterDatabase" vbProcedure="false">'URL Corrections'!$A$1:$E$41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<sst xmlns="http://schemas.openxmlformats.org/spreadsheetml/2006/main" count="1031" uniqueCount="434">
  <si>
    <t xml:space="preserve">City</t>
  </si>
  <si>
    <t xml:space="preserve">State</t>
  </si>
  <si>
    <t xml:space="preserve">FIPS</t>
  </si>
  <si>
    <t xml:space="preserve">Platform</t>
  </si>
  <si>
    <t xml:space="preserve">Given URL Status</t>
  </si>
  <si>
    <t xml:space="preserve">Working Archive URL</t>
  </si>
  <si>
    <t xml:space="preserve">Earliest Year Confirmed</t>
  </si>
  <si>
    <t xml:space="preserve">2019 Available?</t>
  </si>
  <si>
    <t xml:space="preserve">Feasible Window</t>
  </si>
  <si>
    <t xml:space="preserve">Blocker Type</t>
  </si>
  <si>
    <t xml:space="preserve">Notes</t>
  </si>
  <si>
    <t xml:space="preserve">Given URL (from input)</t>
  </si>
  <si>
    <t xml:space="preserve">Albany city</t>
  </si>
  <si>
    <t xml:space="preserve">California</t>
  </si>
  <si>
    <t xml:space="preserve">00674</t>
  </si>
  <si>
    <t xml:space="preserve">PrimeGov</t>
  </si>
  <si>
    <t xml:space="preserve">js_only</t>
  </si>
  <si>
    <t xml:space="preserve">https://www.albanyca.gov/Government/Meetings-Agendas</t>
  </si>
  <si>
    <t xml:space="preserve">unknown</t>
  </si>
  <si>
    <t xml:space="preserve">JavaScript-rendered</t>
  </si>
  <si>
    <t xml:space="preserve">Archive only in embedded PrimeGov iframe, robots-disallowed</t>
  </si>
  <si>
    <t xml:space="preserve">Alcester city</t>
  </si>
  <si>
    <t xml:space="preserve">South Dakota</t>
  </si>
  <si>
    <t xml:space="preserve">00700</t>
  </si>
  <si>
    <t xml:space="preserve">Custom (Wix)</t>
  </si>
  <si>
    <t xml:space="preserve">ok</t>
  </si>
  <si>
    <t xml:space="preserve">https://alcester.sdcity.gov/alcester-meeting-agenda-and-minutes</t>
  </si>
  <si>
    <t xml:space="preserve">2020</t>
  </si>
  <si>
    <t xml:space="preserve">no</t>
  </si>
  <si>
    <t xml:space="preserve">2020-2026</t>
  </si>
  <si>
    <t xml:space="preserve">none</t>
  </si>
  <si>
    <t xml:space="preserve">Year sections 2020-2026; nothing pre-2020. Two Ward II seats vacant</t>
  </si>
  <si>
    <t xml:space="preserve">Amherst town</t>
  </si>
  <si>
    <t xml:space="preserve">Massachusetts</t>
  </si>
  <si>
    <t xml:space="preserve">01370</t>
  </si>
  <si>
    <t xml:space="preserve">CivicEngage</t>
  </si>
  <si>
    <t xml:space="preserve">robots_blocked</t>
  </si>
  <si>
    <t xml:space="preserve">https://www.amherstma.gov/Archive.aspx?AMID=206</t>
  </si>
  <si>
    <t xml:space="preserve">robots.txt (fetcher-side)</t>
  </si>
  <si>
    <t xml:space="preserve">CivicPlus robots.txt unreachable on repeated attempts</t>
  </si>
  <si>
    <t xml:space="preserve">Auburn city</t>
  </si>
  <si>
    <t xml:space="preserve">Alabama</t>
  </si>
  <si>
    <t xml:space="preserve">03076</t>
  </si>
  <si>
    <t xml:space="preserve">Custom</t>
  </si>
  <si>
    <t xml:space="preserve">https://www.auburnal.gov/agenda/</t>
  </si>
  <si>
    <t xml:space="preserve">Packet table not in HTML; fiscal-year nav script-driven</t>
  </si>
  <si>
    <t xml:space="preserve">Belmar borough</t>
  </si>
  <si>
    <t xml:space="preserve">New Jersey</t>
  </si>
  <si>
    <t xml:space="preserve">04930</t>
  </si>
  <si>
    <t xml:space="preserve">Custom (Joomla)</t>
  </si>
  <si>
    <t xml:space="preserve">https://www.belmar.com/government/meeting-documents-2/mayor-council-meeting</t>
  </si>
  <si>
    <t xml:space="preserve">2021</t>
  </si>
  <si>
    <t xml:space="preserve">2021-2026</t>
  </si>
  <si>
    <t xml:space="preserve">Given URL JS-gated; alt page shows 2021-2026 plus unreadable archive folder</t>
  </si>
  <si>
    <t xml:space="preserve">https://www.belmar.com/government/meeting-documents/</t>
  </si>
  <si>
    <t xml:space="preserve">Bothell city</t>
  </si>
  <si>
    <t xml:space="preserve">Washington</t>
  </si>
  <si>
    <t xml:space="preserve">07380</t>
  </si>
  <si>
    <t xml:space="preserve">https://www.bothellwa.gov/AgendaCenter/City-Council-5</t>
  </si>
  <si>
    <t xml:space="preserve">CivicPlus robots.txt unreachable; AgendaCenter not fetchable</t>
  </si>
  <si>
    <t xml:space="preserve">Brandon city</t>
  </si>
  <si>
    <t xml:space="preserve">06840</t>
  </si>
  <si>
    <t xml:space="preserve">https://cityofbrandon.org/agendas</t>
  </si>
  <si>
    <t xml:space="preserve">Site states 2020-current online; earlier records only by request</t>
  </si>
  <si>
    <t xml:space="preserve">Bristol city</t>
  </si>
  <si>
    <t xml:space="preserve">Tennessee</t>
  </si>
  <si>
    <t xml:space="preserve">08540</t>
  </si>
  <si>
    <t xml:space="preserve">CivicEngage / BoardDocs</t>
  </si>
  <si>
    <t xml:space="preserve">https://www.bristoltn.gov/AgendaCenter/City-Council-12</t>
  </si>
  <si>
    <t xml:space="preserve">robots.txt disallows all paths; BoardDocs mirror also disallowed</t>
  </si>
  <si>
    <t xml:space="preserve">Virginia</t>
  </si>
  <si>
    <t xml:space="preserve">09816</t>
  </si>
  <si>
    <t xml:space="preserve">https://www.bristolva.gov/607/Agenda-Center</t>
  </si>
  <si>
    <t xml:space="preserve">CivicPlus robots.txt unreachable; archived-agenda pages unfetchable</t>
  </si>
  <si>
    <t xml:space="preserve">Brockton city</t>
  </si>
  <si>
    <t xml:space="preserve">09000</t>
  </si>
  <si>
    <t xml:space="preserve">WordPress AJAX</t>
  </si>
  <si>
    <t xml:space="preserve">https://brockton.gov/public-documents-archive/?mdl_category=meeting-minutes&amp;mdl_committee=city-council</t>
  </si>
  <si>
    <t xml:space="preserve">Domain moved to brockton.gov; filter offers 2018-2026 but nothing renders</t>
  </si>
  <si>
    <t xml:space="preserve">https://brockton.ma.us/government/city-council/</t>
  </si>
  <si>
    <t xml:space="preserve">California City city</t>
  </si>
  <si>
    <t xml:space="preserve">09780</t>
  </si>
  <si>
    <t xml:space="preserve">Joomla (city site)</t>
  </si>
  <si>
    <t xml:space="preserve">https://www.californiacity-ca.gov/CC/index.php/business/business-licenses/agendas-minutes/city-council-agendas-minutes/city-council-minutes</t>
  </si>
  <si>
    <t xml:space="preserve">2007</t>
  </si>
  <si>
    <t xml:space="preserve">yes</t>
  </si>
  <si>
    <t xml:space="preserve">2007-2026</t>
  </si>
  <si>
    <t xml:space="preserve">Granicus viewpublisher robots-blocked; city site lists 2007-2022 minutes</t>
  </si>
  <si>
    <t xml:space="preserve">https://californiacity.granicus.com/viewpublisher?view_id=1</t>
  </si>
  <si>
    <t xml:space="preserve">Canyon Lake city</t>
  </si>
  <si>
    <t xml:space="preserve">10928</t>
  </si>
  <si>
    <t xml:space="preserve">GovOffice + AgendaQuick</t>
  </si>
  <si>
    <t xml:space="preserve">https://www.canyonlakeca.gov/agendas_minutes</t>
  </si>
  <si>
    <t xml:space="preserve">Year links never render; AgendaQuick only since Oct 2025</t>
  </si>
  <si>
    <t xml:space="preserve">http://www.canyonlakeca.gov/agendas_minutes</t>
  </si>
  <si>
    <t xml:space="preserve">Castle Hills city</t>
  </si>
  <si>
    <t xml:space="preserve">Texas</t>
  </si>
  <si>
    <t xml:space="preserve">13276</t>
  </si>
  <si>
    <t xml:space="preserve">https://www.cityofcastlehills.com/2209/Agendas-Minutes</t>
  </si>
  <si>
    <t xml:space="preserve">Given page points to /2209/; that page's robots.txt repeatedly timed out</t>
  </si>
  <si>
    <t xml:space="preserve">https://www.cityofcastlehills.com/2304/City-Secretary</t>
  </si>
  <si>
    <t xml:space="preserve">Chino Valley town</t>
  </si>
  <si>
    <t xml:space="preserve">Arizona</t>
  </si>
  <si>
    <t xml:space="preserve">12840</t>
  </si>
  <si>
    <t xml:space="preserve">CivicClerk</t>
  </si>
  <si>
    <t xml:space="preserve">redirect</t>
  </si>
  <si>
    <t xml:space="preserve">https://chinovalleyaz.portal.civicclerk.com/</t>
  </si>
  <si>
    <t xml:space="preserve">domain moved</t>
  </si>
  <si>
    <t xml:space="preserve">302 chinoaz.net to chinovalleyaz.gov; CivicClerk portal JS-only</t>
  </si>
  <si>
    <t xml:space="preserve">https://www.chinoaz.net/AgendaCenter</t>
  </si>
  <si>
    <t xml:space="preserve">College Place city</t>
  </si>
  <si>
    <t xml:space="preserve">13855</t>
  </si>
  <si>
    <t xml:space="preserve">BoardDocs Plus</t>
  </si>
  <si>
    <t xml:space="preserve">https://cpwa.us/government/agenda_minutes_packets.php</t>
  </si>
  <si>
    <t xml:space="preserve">BoardDocs robots-blocked; city page claims documents start 2018, unverified</t>
  </si>
  <si>
    <t xml:space="preserve">https://go.boarddocs.com/wa/cocp/Board.nsf/Public</t>
  </si>
  <si>
    <t xml:space="preserve">Cookeville city</t>
  </si>
  <si>
    <t xml:space="preserve">16920</t>
  </si>
  <si>
    <t xml:space="preserve">https://cookeville-tn.gov/AgendaCenter</t>
  </si>
  <si>
    <t xml:space="preserve">www robots.txt times out; non-www loads but tables unrendered</t>
  </si>
  <si>
    <t xml:space="preserve">https://www.cookeville-tn.gov/AgendaCenter</t>
  </si>
  <si>
    <t xml:space="preserve">Cottonwood city</t>
  </si>
  <si>
    <t xml:space="preserve">16410</t>
  </si>
  <si>
    <t xml:space="preserve">https://cottonwoodaz.gov/AgendaCenter</t>
  </si>
  <si>
    <t xml:space="preserve">Years 2020,2021,2022,2024,2026; oldest item 01/26/2020</t>
  </si>
  <si>
    <t xml:space="preserve">Dearborn Heights city</t>
  </si>
  <si>
    <t xml:space="preserve">Michigan</t>
  </si>
  <si>
    <t xml:space="preserve">https://dearbornheightsmi.portal.civicclerk.com/</t>
  </si>
  <si>
    <t xml:space="preserve">City site robots.txt times out; portal JS-only</t>
  </si>
  <si>
    <t xml:space="preserve">https://www.dearbornheightsmi.gov/129/Agendas-Minutes</t>
  </si>
  <si>
    <t xml:space="preserve">Dublin city</t>
  </si>
  <si>
    <t xml:space="preserve">Georgia</t>
  </si>
  <si>
    <t xml:space="preserve">24376</t>
  </si>
  <si>
    <t xml:space="preserve">https://www.cityofdublin.org/government/council-meetings-and-agendas</t>
  </si>
  <si>
    <t xml:space="preserve">2024</t>
  </si>
  <si>
    <t xml:space="preserve">2024-2026</t>
  </si>
  <si>
    <t xml:space="preserve">Year selector offers only 2024, 2025, 2026</t>
  </si>
  <si>
    <t xml:space="preserve">El Paso city</t>
  </si>
  <si>
    <t xml:space="preserve">24000</t>
  </si>
  <si>
    <t xml:space="preserve">Legistar</t>
  </si>
  <si>
    <t xml:space="preserve">https://elpasotexas.legistar.com/Calendar.aspx</t>
  </si>
  <si>
    <t xml:space="preserve">Calendar year dropdown spans 2020-2026; 2019 not an option</t>
  </si>
  <si>
    <t xml:space="preserve">https://elpasotexas.legistar.com/</t>
  </si>
  <si>
    <t xml:space="preserve">Fairhope city</t>
  </si>
  <si>
    <t xml:space="preserve">25240</t>
  </si>
  <si>
    <t xml:space="preserve">https://fairhopeal.portal.civicclerk.com/?category_id=26</t>
  </si>
  <si>
    <t xml:space="preserve">HTML only says JavaScript required</t>
  </si>
  <si>
    <t xml:space="preserve">Federal Way city</t>
  </si>
  <si>
    <t xml:space="preserve">23515</t>
  </si>
  <si>
    <t xml:space="preserve">Custom + Laserfiche</t>
  </si>
  <si>
    <t xml:space="preserve">https://www.federalwaywa.gov/page/agendas-and-minutes</t>
  </si>
  <si>
    <t xml:space="preserve">Archive at docs.federalwaywa.gov/WebLink is robots-blocked</t>
  </si>
  <si>
    <t xml:space="preserve">Franklin township</t>
  </si>
  <si>
    <t xml:space="preserve">24930</t>
  </si>
  <si>
    <t xml:space="preserve">CivicEngage / Granicus</t>
  </si>
  <si>
    <t xml:space="preserve">Gloucester County; robots.txt unreachable, all paths blocked</t>
  </si>
  <si>
    <t xml:space="preserve">https://www.franklintownshipnj.org/AgendaCenter</t>
  </si>
  <si>
    <t xml:space="preserve">Gloucester Township</t>
  </si>
  <si>
    <t xml:space="preserve">26820</t>
  </si>
  <si>
    <t xml:space="preserve">WordPress</t>
  </si>
  <si>
    <t xml:space="preserve">https://glotwp.com/department/municipal-clerk/</t>
  </si>
  <si>
    <t xml:space="preserve">2017</t>
  </si>
  <si>
    <t xml:space="preserve">2017-2026</t>
  </si>
  <si>
    <t xml:space="preserve">Camden County confirmed; /meetings is hub only, clerk page holds archive</t>
  </si>
  <si>
    <t xml:space="preserve">https://glotwp.com/meetings/</t>
  </si>
  <si>
    <t xml:space="preserve">Greenfield city</t>
  </si>
  <si>
    <t xml:space="preserve">27060</t>
  </si>
  <si>
    <t xml:space="preserve">https://greenfield-ma.gov/government/city_council/city_council_minutes.php</t>
  </si>
  <si>
    <t xml:space="preserve">2004</t>
  </si>
  <si>
    <t xml:space="preserve">2004-2026</t>
  </si>
  <si>
    <t xml:space="preserve">Regular minutes only FY2022+; older years are executive-session minutes</t>
  </si>
  <si>
    <t xml:space="preserve">Groves city</t>
  </si>
  <si>
    <t xml:space="preserve">https://grovestx.gov/government/city_council/agendas_minutes.php</t>
  </si>
  <si>
    <t xml:space="preserve">Spreadsheet URL cigrovestx.com is robots-blocked; grovestx.gov is real site</t>
  </si>
  <si>
    <t xml:space="preserve">https://cigrovestx.com/page/city.agendas</t>
  </si>
  <si>
    <t xml:space="preserve">Hartford city</t>
  </si>
  <si>
    <t xml:space="preserve">27540</t>
  </si>
  <si>
    <t xml:space="preserve">Custom (index.asp)</t>
  </si>
  <si>
    <t xml:space="preserve">Entire hartfordsd.us disallowed by robots.txt</t>
  </si>
  <si>
    <t xml:space="preserve">https://hartfordsd.us/meetings</t>
  </si>
  <si>
    <t xml:space="preserve">Homewood city</t>
  </si>
  <si>
    <t xml:space="preserve">35800</t>
  </si>
  <si>
    <t xml:space="preserve">https://www.cityofhomewood.com/city-council-archives</t>
  </si>
  <si>
    <t xml:space="preserve">/meetings is hub; archive lives on city-council-archives page</t>
  </si>
  <si>
    <t xml:space="preserve">https://www.cityofhomewood.com/meetings</t>
  </si>
  <si>
    <t xml:space="preserve">Hot Springs city</t>
  </si>
  <si>
    <t xml:space="preserve">30220</t>
  </si>
  <si>
    <t xml:space="preserve">https://hotspringssd.gov/government/city_council/agendas_minutes</t>
  </si>
  <si>
    <t xml:space="preserve">2022</t>
  </si>
  <si>
    <t xml:space="preserve">2022-2026</t>
  </si>
  <si>
    <t xml:space="preserve">hs-sd.org 302s to hotspringssd.gov; pre-2022 in JS-only Google Drive</t>
  </si>
  <si>
    <t xml:space="preserve">https://hs-sd.org/government/city_council/agendas_minutes/</t>
  </si>
  <si>
    <t xml:space="preserve">Howell township</t>
  </si>
  <si>
    <t xml:space="preserve">robots.txt unparseable on twp.howell.nj.us and CivicPlus mirror</t>
  </si>
  <si>
    <t xml:space="preserve">https://www.twp.howell.nj.us/AgendaCenter/Township-Council-5</t>
  </si>
  <si>
    <t xml:space="preserve">Jersey City city</t>
  </si>
  <si>
    <t xml:space="preserve">36000</t>
  </si>
  <si>
    <t xml:space="preserve">CivicWeb + CivicPlus</t>
  </si>
  <si>
    <t xml:space="preserve">https://www.jerseycitynj.gov/cms/One.aspx?portalId=6189744&amp;pageId=10776947</t>
  </si>
  <si>
    <t xml:space="preserve">2019</t>
  </si>
  <si>
    <t xml:space="preserve">2019-2026</t>
  </si>
  <si>
    <t xml:space="preserve">A 2012-2018 page exists but documents did not render</t>
  </si>
  <si>
    <t xml:space="preserve">https://cityofjerseycity.civicweb.net</t>
  </si>
  <si>
    <t xml:space="preserve">Lacey city</t>
  </si>
  <si>
    <t xml:space="preserve">36745</t>
  </si>
  <si>
    <t xml:space="preserve">https://laceywa.portal.civicclerk.com</t>
  </si>
  <si>
    <t xml:space="preserve">Portal JS-only; cityoflacey.org has no static archive</t>
  </si>
  <si>
    <t xml:space="preserve">Memphis city</t>
  </si>
  <si>
    <t xml:space="preserve">48000</t>
  </si>
  <si>
    <t xml:space="preserve">Granicus + WordPress</t>
  </si>
  <si>
    <t xml:space="preserve">https://memphistn.gov/city-council-meeting-agenda/</t>
  </si>
  <si>
    <t xml:space="preserve">2023</t>
  </si>
  <si>
    <t xml:space="preserve">2023-2026</t>
  </si>
  <si>
    <t xml:space="preserve">Granicus viewer and watch-meetings page blocked (robots/403)</t>
  </si>
  <si>
    <t xml:space="preserve">Milledgeville city</t>
  </si>
  <si>
    <t xml:space="preserve">51492</t>
  </si>
  <si>
    <t xml:space="preserve">Custom (WordPress)</t>
  </si>
  <si>
    <t xml:space="preserve">https://www.milledgevillega.us/index.php/agendas-and-minutes/</t>
  </si>
  <si>
    <t xml:space="preserve">Whole domain robots-disallowed; minutes page found via search only</t>
  </si>
  <si>
    <t xml:space="preserve">https://www.milledgevillega.us/index.php/city-council/</t>
  </si>
  <si>
    <t xml:space="preserve">Mission city</t>
  </si>
  <si>
    <t xml:space="preserve">48768</t>
  </si>
  <si>
    <t xml:space="preserve">MuniCode Meetings</t>
  </si>
  <si>
    <t xml:space="preserve">https://mission-tx.municodemeetings.com/</t>
  </si>
  <si>
    <t xml:space="preserve">Oldest record Nov 23 2020; 1976-2029 dropdown is generic, not real</t>
  </si>
  <si>
    <t xml:space="preserve">Mitchell city</t>
  </si>
  <si>
    <t xml:space="preserve">43100</t>
  </si>
  <si>
    <t xml:space="preserve">https://www.cityofmitchellsd.gov/AgendaCenter</t>
  </si>
  <si>
    <t xml:space="preserve">2015</t>
  </si>
  <si>
    <t xml:space="preserve">2015-2026</t>
  </si>
  <si>
    <t xml:space="preserve">Council 2015-2022 listed; multiple boards back to 2015</t>
  </si>
  <si>
    <t xml:space="preserve">Mobile city</t>
  </si>
  <si>
    <t xml:space="preserve">50000</t>
  </si>
  <si>
    <t xml:space="preserve">https://mobileal.portal.civicclerk.com/</t>
  </si>
  <si>
    <t xml:space="preserve">Confirmed via CivicClerk OData API; earliest event 2017-11-21</t>
  </si>
  <si>
    <t xml:space="preserve">Montclair township</t>
  </si>
  <si>
    <t xml:space="preserve">CivicLive + eCode360</t>
  </si>
  <si>
    <t xml:space="preserve">https://ecode360.com/MO0769/documents/Minutes</t>
  </si>
  <si>
    <t xml:space="preserve">eCode360 listing JS-rendered; category URLs 403; Granicus robots-blocked</t>
  </si>
  <si>
    <t xml:space="preserve">https://www.montclairnjusa.org/Government/Council-Meeting-Agendas</t>
  </si>
  <si>
    <t xml:space="preserve">Nashville city</t>
  </si>
  <si>
    <t xml:space="preserve">52006</t>
  </si>
  <si>
    <t xml:space="preserve">https://nashville.legistar.com/Calendar.aspx</t>
  </si>
  <si>
    <t xml:space="preserve">Calendar year filter spans 2015-2027</t>
  </si>
  <si>
    <t xml:space="preserve">https://nashville.legistar.com/</t>
  </si>
  <si>
    <t xml:space="preserve">New Brunswick city</t>
  </si>
  <si>
    <t xml:space="preserve">51210</t>
  </si>
  <si>
    <t xml:space="preserve">Entire cityofnewbrunswick.org disallowed by robots.txt</t>
  </si>
  <si>
    <t xml:space="preserve">https://www.cityofnewbrunswick.org/government/city_council/meeting_agendas___minutes.php</t>
  </si>
  <si>
    <t xml:space="preserve">Norfolk city</t>
  </si>
  <si>
    <t xml:space="preserve">57000</t>
  </si>
  <si>
    <t xml:space="preserve">https://www.norfolk.gov/AgendaCenter/City-Council-Agendas-25</t>
  </si>
  <si>
    <t xml:space="preserve">2013</t>
  </si>
  <si>
    <t xml:space="preserve">2013-2026</t>
  </si>
  <si>
    <t xml:space="preserve">/AgendaCenter root unfetchable; subcategory shows 2013, 2022-2026 only</t>
  </si>
  <si>
    <t xml:space="preserve">https://www.norfolk.gov/AgendaCenter</t>
  </si>
  <si>
    <t xml:space="preserve">Oak Harbor city</t>
  </si>
  <si>
    <t xml:space="preserve">50360</t>
  </si>
  <si>
    <t xml:space="preserve">https://www.oakharbor.gov/AgendaCenter/City-Council-2</t>
  </si>
  <si>
    <t xml:space="preserve">2026</t>
  </si>
  <si>
    <t xml:space="preserve">2026-2026</t>
  </si>
  <si>
    <t xml:space="preserve">Only 2026 visible; year-filtered URLs repeatedly robots-unfetchable</t>
  </si>
  <si>
    <t xml:space="preserve">https://oakharbor.gov/AgendaCenter/City-Council-2</t>
  </si>
  <si>
    <t xml:space="preserve">Oakland city</t>
  </si>
  <si>
    <t xml:space="preserve">53000</t>
  </si>
  <si>
    <t xml:space="preserve">https://oakland.legistar.com/Calendar.aspx</t>
  </si>
  <si>
    <t xml:space="preserve">2000</t>
  </si>
  <si>
    <t xml:space="preserve">2000-2026</t>
  </si>
  <si>
    <t xml:space="preserve">Calendar year dropdown spans 2000-2026</t>
  </si>
  <si>
    <t xml:space="preserve">https://oakland.legistar.com/</t>
  </si>
  <si>
    <t xml:space="preserve">Odessa city</t>
  </si>
  <si>
    <t xml:space="preserve">53388</t>
  </si>
  <si>
    <t xml:space="preserve">odessa-tx.gov robots.txt unreachable on ~8 attempts; no page loaded</t>
  </si>
  <si>
    <t xml:space="preserve">https://www.odessa-tx.gov/AgendaCenter/City-Council-7/</t>
  </si>
  <si>
    <t xml:space="preserve">Ojai city</t>
  </si>
  <si>
    <t xml:space="preserve">53476</t>
  </si>
  <si>
    <t xml:space="preserve">https://www.ojai.ca.gov/530/City-Council-Agenda-Video-Minutes</t>
  </si>
  <si>
    <t xml:space="preserve">Non-www robots.txt flaky; legacy ojaicity.org (2019) unreachable</t>
  </si>
  <si>
    <t xml:space="preserve">https://ojai.ca.gov/530/City-Council-Agenda-Video-Minutes</t>
  </si>
  <si>
    <t xml:space="preserve">Page city</t>
  </si>
  <si>
    <t xml:space="preserve">51810</t>
  </si>
  <si>
    <t xml:space="preserve">https://pageaz.portal.civicclerk.com/</t>
  </si>
  <si>
    <t xml:space="preserve">Portal JS-only; earliest confirmed via CivicClerk OData Events API</t>
  </si>
  <si>
    <t xml:space="preserve">https://cityofpage.org/government/public-meetings/</t>
  </si>
  <si>
    <t xml:space="preserve">Phoenix city</t>
  </si>
  <si>
    <t xml:space="preserve">55000</t>
  </si>
  <si>
    <t xml:space="preserve">https://phoenix.legistar.com/Calendar.aspx</t>
  </si>
  <si>
    <t xml:space="preserve">2016</t>
  </si>
  <si>
    <t xml:space="preserve">2016-2026</t>
  </si>
  <si>
    <t xml:space="preserve">Year dropdown lists 2016-2027</t>
  </si>
  <si>
    <t xml:space="preserve">https://phoenix.legistar.com/</t>
  </si>
  <si>
    <t xml:space="preserve">Poquoson city</t>
  </si>
  <si>
    <t xml:space="preserve">63768</t>
  </si>
  <si>
    <t xml:space="preserve">ci.poquoson.va.us robots.txt times out repeatedly</t>
  </si>
  <si>
    <t xml:space="preserve">https://www.ci.poquoson.va.us/AgendaCenter/City-Council-2</t>
  </si>
  <si>
    <t xml:space="preserve">Portsmouth city</t>
  </si>
  <si>
    <t xml:space="preserve">64000</t>
  </si>
  <si>
    <t xml:space="preserve">Custom HCMS</t>
  </si>
  <si>
    <t xml:space="preserve">https://www.portsmouthva.gov/129/Agendas-Minutes</t>
  </si>
  <si>
    <t xml:space="preserve">AgendaCenter now 404s; www2 weblink archive has SSL cert error</t>
  </si>
  <si>
    <t xml:space="preserve">https://www.portsmouthva.gov/agendacenter/city-council-7</t>
  </si>
  <si>
    <t xml:space="preserve">Richmond city</t>
  </si>
  <si>
    <t xml:space="preserve">https://richmondhill-ga.gov/Archive.aspx</t>
  </si>
  <si>
    <t xml:space="preserve">CORRECTION: this is Richmond Hill, GA. AgendaCenter unreachable</t>
  </si>
  <si>
    <t xml:space="preserve">https://www.richmondhill-ga.gov/AgendaCenter/City-Council-1</t>
  </si>
  <si>
    <t xml:space="preserve">Ripon city</t>
  </si>
  <si>
    <t xml:space="preserve">61026</t>
  </si>
  <si>
    <t xml:space="preserve">cityofripon.org robots.txt times out on every attempt and variant</t>
  </si>
  <si>
    <t xml:space="preserve">https://www.cityofripon.org/AgendaCenter</t>
  </si>
  <si>
    <t xml:space="preserve">Sahuarita town</t>
  </si>
  <si>
    <t xml:space="preserve">62140</t>
  </si>
  <si>
    <t xml:space="preserve">CivicEngage + Laserfiche</t>
  </si>
  <si>
    <t xml:space="preserve">https://sahuaritaaz.gov/1252/Agendas-Minutes</t>
  </si>
  <si>
    <t xml:space="preserve">Meeting lists not server-rendered; pre-2015 Laserfiche portal 403</t>
  </si>
  <si>
    <t xml:space="preserve">https://sahuaritaaz.gov/agendacenter</t>
  </si>
  <si>
    <t xml:space="preserve">Seattle city</t>
  </si>
  <si>
    <t xml:space="preserve">63000</t>
  </si>
  <si>
    <t xml:space="preserve">https://seattle.legistar.com/Calendar.aspx</t>
  </si>
  <si>
    <t xml:space="preserve">Year dropdown lists 2015-2026</t>
  </si>
  <si>
    <t xml:space="preserve">Selma city</t>
  </si>
  <si>
    <t xml:space="preserve">69120</t>
  </si>
  <si>
    <t xml:space="preserve">https://selma-al.gov/government/city-council/council-agenda/</t>
  </si>
  <si>
    <t xml:space="preserve">STALE: newest agenda Aug 2022. www host has SSL handshake failure</t>
  </si>
  <si>
    <t xml:space="preserve">Shenandoah city</t>
  </si>
  <si>
    <t xml:space="preserve">67400</t>
  </si>
  <si>
    <t xml:space="preserve">Site moved to shenandoahpdtx.gov; both domains robots.txt unreachable</t>
  </si>
  <si>
    <t xml:space="preserve">https://www.shenandoahtx.us/AgendaCenter</t>
  </si>
  <si>
    <t xml:space="preserve">Show Low city</t>
  </si>
  <si>
    <t xml:space="preserve">66470</t>
  </si>
  <si>
    <t xml:space="preserve">https://showlowaz.portal.civicclerk.com/</t>
  </si>
  <si>
    <t xml:space="preserve">Portal JS-only; CivicClerk API shows 294 events, earliest Jan 2023</t>
  </si>
  <si>
    <t xml:space="preserve">Sioux Falls city</t>
  </si>
  <si>
    <t xml:space="preserve">59020</t>
  </si>
  <si>
    <t xml:space="preserve">OnBase Agenda Online</t>
  </si>
  <si>
    <t xml:space="preserve">https://amv.siouxfalls.gov/publicaccess/docs/searchq/</t>
  </si>
  <si>
    <t xml:space="preserve">1877</t>
  </si>
  <si>
    <t xml:space="preserve">1877-2026</t>
  </si>
  <si>
    <t xml:space="preserve">Records site states minutes 1877-present; 2019 meeting page verified</t>
  </si>
  <si>
    <t xml:space="preserve">https://www.siouxfalls.gov/government/council/council-meetings-agendas</t>
  </si>
  <si>
    <t xml:space="preserve">Tazewell town</t>
  </si>
  <si>
    <t xml:space="preserve">77792</t>
  </si>
  <si>
    <t xml:space="preserve">https://www.townoftazewell.org/town-council-meeting-archive/</t>
  </si>
  <si>
    <t xml:space="preserve">Years 2016-2026 listed with monthly minutes, agendas, videos</t>
  </si>
  <si>
    <t xml:space="preserve">Tucson city</t>
  </si>
  <si>
    <t xml:space="preserve">77000</t>
  </si>
  <si>
    <t xml:space="preserve">Custom + Hyland OnBase</t>
  </si>
  <si>
    <t xml:space="preserve">https://www.tucsonaz.gov/Government/Mayor-Council-and-City-Manager/Meeting-Schedules-Agendas/Mayor-Council-Meeting-Document-Archive</t>
  </si>
  <si>
    <t xml:space="preserve">2002</t>
  </si>
  <si>
    <t xml:space="preserve">2002-2026</t>
  </si>
  <si>
    <t xml:space="preserve">Archive lists 2002-2010; Hyland portal renders only recent meetings</t>
  </si>
  <si>
    <t xml:space="preserve">https://www.tucsonaz.gov/Government/Mayor-Council-and-City-Manager/Meeting-Schedules-Agendas</t>
  </si>
  <si>
    <t xml:space="preserve">Vader city</t>
  </si>
  <si>
    <t xml:space="preserve">73780</t>
  </si>
  <si>
    <t xml:space="preserve">Custom + Google Drive</t>
  </si>
  <si>
    <t xml:space="preserve">https://www.vaderwa.org/</t>
  </si>
  <si>
    <t xml:space="preserve">NO ARCHIVE: only current agendas as robots-blocked Drive files</t>
  </si>
  <si>
    <t xml:space="preserve">https://www.vaderwa.org/city-council</t>
  </si>
  <si>
    <t xml:space="preserve">Victoria city</t>
  </si>
  <si>
    <t xml:space="preserve">CivicEngage + CivicWeb</t>
  </si>
  <si>
    <t xml:space="preserve">timeout</t>
  </si>
  <si>
    <t xml:space="preserve">https://victoriatx.org/591/City-Council-Documents</t>
  </si>
  <si>
    <t xml:space="preserve">server timeout</t>
  </si>
  <si>
    <t xml:space="preserve">victoriatx.gov robots.txt connect-timeout; .org page cites 2017-2019</t>
  </si>
  <si>
    <t xml:space="preserve">https://www.victoriatx.gov/AgendaCenter</t>
  </si>
  <si>
    <t xml:space="preserve">Waynesboro city</t>
  </si>
  <si>
    <t xml:space="preserve">83680</t>
  </si>
  <si>
    <t xml:space="preserve">https://waynesboro.va.us/AgendaCenter/City-Council-1</t>
  </si>
  <si>
    <t xml:space="preserve">1888</t>
  </si>
  <si>
    <t xml:space="preserve">1888-2026</t>
  </si>
  <si>
    <t xml:space="preserve">www host robots-blocked; non-www works; Archive Center has 1888-2002</t>
  </si>
  <si>
    <t xml:space="preserve">https://www.waynesboro.va.us/AgendaCenter</t>
  </si>
  <si>
    <t xml:space="preserve">Westmoreland town</t>
  </si>
  <si>
    <t xml:space="preserve">79420</t>
  </si>
  <si>
    <t xml:space="preserve">https://westmorelandtn.gov/city-government/city-council-meeting-info-minutes/</t>
  </si>
  <si>
    <t xml:space="preserve">2016-2018 only</t>
  </si>
  <si>
    <t xml:space="preserve">STALE: only Nov 2016 - Dec 2018. Has pre-2019 but NOT 2019+</t>
  </si>
  <si>
    <t xml:space="preserve">Yuba City city</t>
  </si>
  <si>
    <t xml:space="preserve">86972</t>
  </si>
  <si>
    <t xml:space="preserve">CivicLive Document Center</t>
  </si>
  <si>
    <t xml:space="preserve">https://www.yubacity.net/city_council/council_agenda___minutes.php</t>
  </si>
  <si>
    <t xml:space="preserve">Year sections 2017-2020 visible; 2019 has 55 agendas, 45 minutes</t>
  </si>
  <si>
    <t xml:space="preserve">2019-2026 Feasibility Census - 64 Cities</t>
  </si>
  <si>
    <t xml:space="preserve">All counts are COUNTIF formulas over 'Archive Census' and update if you edit that sheet.</t>
  </si>
  <si>
    <t xml:space="preserve">2019 availability</t>
  </si>
  <si>
    <t xml:space="preserve">Confirmed available</t>
  </si>
  <si>
    <t xml:space="preserve">2019 minutes visibly listed</t>
  </si>
  <si>
    <t xml:space="preserve">Confirmed absent</t>
  </si>
  <si>
    <t xml:space="preserve">Archive starts after 2019, or no archive</t>
  </si>
  <si>
    <t xml:space="preserve">Unknown - blocked</t>
  </si>
  <si>
    <t xml:space="preserve">Could not determine; fetcher-side blocker</t>
  </si>
  <si>
    <t xml:space="preserve">Total</t>
  </si>
  <si>
    <t xml:space="preserve">Should equal 64</t>
  </si>
  <si>
    <t xml:space="preserve">Archive URL health (as supplied)</t>
  </si>
  <si>
    <t xml:space="preserve">Loaded cleanly</t>
  </si>
  <si>
    <t xml:space="preserve">URL from your spreadsheet worked</t>
  </si>
  <si>
    <t xml:space="preserve">robots.txt blocked</t>
  </si>
  <si>
    <t xml:space="preserve">Politeness gate on my fetcher, not a dead site</t>
  </si>
  <si>
    <t xml:space="preserve">JavaScript-only</t>
  </si>
  <si>
    <t xml:space="preserve">Documents exist but are not server-rendered</t>
  </si>
  <si>
    <t xml:space="preserve">Domain moved</t>
  </si>
  <si>
    <t xml:space="preserve">Spreadsheet URL now redirects elsewhere</t>
  </si>
  <si>
    <t xml:space="preserve">Timeout</t>
  </si>
  <si>
    <t xml:space="preserve">Server did not respond</t>
  </si>
  <si>
    <t xml:space="preserve">Corrected / replaced URLs</t>
  </si>
  <si>
    <t xml:space="preserve">Working URL differs from the one you supplied</t>
  </si>
  <si>
    <t xml:space="preserve">No working URL found</t>
  </si>
  <si>
    <t xml:space="preserve">Needs manual resolution</t>
  </si>
  <si>
    <t xml:space="preserve">Platform concentration</t>
  </si>
  <si>
    <t xml:space="preserve">CivicEngage / CivicPlus</t>
  </si>
  <si>
    <t xml:space="preserve">Has predictable ViewFile URL patterns</t>
  </si>
  <si>
    <t xml:space="preserve">JS UI but exposes an OData API - see script</t>
  </si>
  <si>
    <t xml:space="preserve">Full public REST API, deepest history</t>
  </si>
  <si>
    <t xml:space="preserve">Custom / one-off</t>
  </si>
  <si>
    <t xml:space="preserve">Needs per-site handling</t>
  </si>
  <si>
    <t xml:space="preserve">URL in your spreadsheet</t>
  </si>
  <si>
    <t xml:space="preserve">Working URL found</t>
  </si>
  <si>
    <t xml:space="preserve">Issue</t>
  </si>
  <si>
    <t xml:space="preserve">Legend and method</t>
  </si>
  <si>
    <t xml:space="preserve">2019 Available? - green</t>
  </si>
  <si>
    <t xml:space="preserve">2019 minutes/agendas visibly listed on a page that was actually fetched.</t>
  </si>
  <si>
    <t xml:space="preserve">2019 Available? - red</t>
  </si>
  <si>
    <t xml:space="preserve">Archive demonstrably starts after 2019, or the city has no archive at all.</t>
  </si>
  <si>
    <t xml:space="preserve">2019 Available? - yellow</t>
  </si>
  <si>
    <t xml:space="preserve">Undetermined. In every case the blocker was on the retrieval side (robots.txt, JS rendering, TLS), not evidence that records are missing. These are the cities a locally-run script is most likely to recover.</t>
  </si>
  <si>
    <t xml:space="preserve">Working Archive URL in red bold</t>
  </si>
  <si>
    <t xml:space="preserve">Differs from the URL supplied in your input spreadsheet. See the URL Corrections tab.</t>
  </si>
  <si>
    <t xml:space="preserve">Working Archive URL = 'unknown'</t>
  </si>
  <si>
    <t xml:space="preserve">No fetchable archive located; needs manual resolution.</t>
  </si>
  <si>
    <t xml:space="preserve">Method</t>
  </si>
  <si>
    <t xml:space="preserve">Each city was audited with live HTTP fetches only. No name, year, or URL in this workbook comes from model memory; anything that could not be confirmed from a fetched page is recorded as 'unknown' rather than guessed.</t>
  </si>
  <si>
    <t xml:space="preserve">Not used</t>
  </si>
  <si>
    <t xml:space="preserve">web.archive.org was unavailable to this environment (proxy 403), as were Ballotpedia and several vendor portals. Nothing here depends on them.</t>
  </si>
  <si>
    <t xml:space="preserve">Caveat</t>
  </si>
  <si>
    <t xml:space="preserve">'Earliest Year Confirmed' is the oldest year visible in a listing, which is a floor, not a guarantee of completeness. Gaps mid-range are common: Groves TX is missing 2020, Cottonwood AZ is missing 2023 and 2025, Norfolk VA shows 2013 then nothing until 2022.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</si>
</sst>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52"/>
    <col collapsed="false" customWidth="true" hidden="false" outlineLevel="0" max="8" min="7" style="0" width="12"/>
    <col collapsed="false" customWidth="true" hidden="false" outlineLevel="0" max="9" min="9" style="0" width="15"/>
    <col collapsed="false" customWidth="true" hidden="false" outlineLevel="0" max="10" min="10" style="0" width="24"/>
    <col collapsed="false" customWidth="true" hidden="false" outlineLevel="0" max="11" min="11" style="0" width="58"/>
    <col collapsed="false" customWidth="true" hidden="false" outlineLevel="0" max="12" min="12" style="0" width="5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3" t="s">
        <v>18</v>
      </c>
      <c r="I2" s="2" t="s">
        <v>18</v>
      </c>
      <c r="J2" s="2" t="s">
        <v>19</v>
      </c>
      <c r="K2" s="2" t="s">
        <v>20</v>
      </c>
      <c r="L2" s="2" t="s">
        <v>17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4" t="s">
        <v>25</v>
      </c>
      <c r="F3" s="2" t="s">
        <v>26</v>
      </c>
      <c r="G3" s="2" t="s">
        <v>27</v>
      </c>
      <c r="H3" s="5" t="s">
        <v>28</v>
      </c>
      <c r="I3" s="2" t="s">
        <v>29</v>
      </c>
      <c r="J3" s="2" t="s">
        <v>30</v>
      </c>
      <c r="K3" s="2" t="s">
        <v>31</v>
      </c>
      <c r="L3" s="2" t="s">
        <v>26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3" t="s">
        <v>36</v>
      </c>
      <c r="F4" s="2" t="s">
        <v>37</v>
      </c>
      <c r="G4" s="2" t="s">
        <v>18</v>
      </c>
      <c r="H4" s="3" t="s">
        <v>18</v>
      </c>
      <c r="I4" s="2" t="s">
        <v>18</v>
      </c>
      <c r="J4" s="2" t="s">
        <v>38</v>
      </c>
      <c r="K4" s="2" t="s">
        <v>39</v>
      </c>
      <c r="L4" s="2" t="s">
        <v>37</v>
      </c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3" t="s">
        <v>16</v>
      </c>
      <c r="F5" s="2" t="s">
        <v>44</v>
      </c>
      <c r="G5" s="2" t="s">
        <v>18</v>
      </c>
      <c r="H5" s="3" t="s">
        <v>18</v>
      </c>
      <c r="I5" s="2" t="s">
        <v>18</v>
      </c>
      <c r="J5" s="2" t="s">
        <v>19</v>
      </c>
      <c r="K5" s="2" t="s">
        <v>45</v>
      </c>
      <c r="L5" s="2" t="s">
        <v>44</v>
      </c>
    </row>
    <row r="6" customFormat="false" ht="23.8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49</v>
      </c>
      <c r="E6" s="3" t="s">
        <v>16</v>
      </c>
      <c r="F6" s="6" t="s">
        <v>50</v>
      </c>
      <c r="G6" s="2" t="s">
        <v>51</v>
      </c>
      <c r="H6" s="3" t="s">
        <v>18</v>
      </c>
      <c r="I6" s="2" t="s">
        <v>52</v>
      </c>
      <c r="J6" s="2" t="s">
        <v>19</v>
      </c>
      <c r="K6" s="2" t="s">
        <v>53</v>
      </c>
      <c r="L6" s="2" t="s">
        <v>54</v>
      </c>
    </row>
    <row r="7" customFormat="false" ht="15" hidden="false" customHeight="false" outlineLevel="0" collapsed="false">
      <c r="A7" s="2" t="s">
        <v>55</v>
      </c>
      <c r="B7" s="2" t="s">
        <v>56</v>
      </c>
      <c r="C7" s="2" t="s">
        <v>57</v>
      </c>
      <c r="D7" s="2" t="s">
        <v>35</v>
      </c>
      <c r="E7" s="3" t="s">
        <v>36</v>
      </c>
      <c r="F7" s="2" t="s">
        <v>58</v>
      </c>
      <c r="G7" s="2" t="s">
        <v>18</v>
      </c>
      <c r="H7" s="3" t="s">
        <v>18</v>
      </c>
      <c r="I7" s="2" t="s">
        <v>18</v>
      </c>
      <c r="J7" s="2" t="s">
        <v>38</v>
      </c>
      <c r="K7" s="2" t="s">
        <v>59</v>
      </c>
      <c r="L7" s="2" t="s">
        <v>58</v>
      </c>
    </row>
    <row r="8" customFormat="false" ht="15" hidden="false" customHeight="false" outlineLevel="0" collapsed="false">
      <c r="A8" s="2" t="s">
        <v>60</v>
      </c>
      <c r="B8" s="2" t="s">
        <v>22</v>
      </c>
      <c r="C8" s="2" t="s">
        <v>61</v>
      </c>
      <c r="D8" s="2" t="s">
        <v>43</v>
      </c>
      <c r="E8" s="4" t="s">
        <v>25</v>
      </c>
      <c r="F8" s="2" t="s">
        <v>62</v>
      </c>
      <c r="G8" s="2" t="s">
        <v>27</v>
      </c>
      <c r="H8" s="5" t="s">
        <v>28</v>
      </c>
      <c r="I8" s="2" t="s">
        <v>29</v>
      </c>
      <c r="J8" s="2" t="s">
        <v>30</v>
      </c>
      <c r="K8" s="2" t="s">
        <v>63</v>
      </c>
      <c r="L8" s="2" t="s">
        <v>62</v>
      </c>
    </row>
    <row r="9" customFormat="false" ht="15" hidden="false" customHeight="false" outlineLevel="0" collapsed="false">
      <c r="A9" s="2" t="s">
        <v>64</v>
      </c>
      <c r="B9" s="2" t="s">
        <v>65</v>
      </c>
      <c r="C9" s="2" t="s">
        <v>66</v>
      </c>
      <c r="D9" s="2" t="s">
        <v>67</v>
      </c>
      <c r="E9" s="3" t="s">
        <v>36</v>
      </c>
      <c r="F9" s="2" t="s">
        <v>68</v>
      </c>
      <c r="G9" s="2" t="s">
        <v>18</v>
      </c>
      <c r="H9" s="3" t="s">
        <v>18</v>
      </c>
      <c r="I9" s="2" t="s">
        <v>18</v>
      </c>
      <c r="J9" s="2" t="s">
        <v>38</v>
      </c>
      <c r="K9" s="2" t="s">
        <v>69</v>
      </c>
      <c r="L9" s="2" t="s">
        <v>68</v>
      </c>
    </row>
    <row r="10" customFormat="false" ht="15" hidden="false" customHeight="false" outlineLevel="0" collapsed="false">
      <c r="A10" s="2" t="s">
        <v>64</v>
      </c>
      <c r="B10" s="2" t="s">
        <v>70</v>
      </c>
      <c r="C10" s="2" t="s">
        <v>71</v>
      </c>
      <c r="D10" s="2" t="s">
        <v>35</v>
      </c>
      <c r="E10" s="3" t="s">
        <v>36</v>
      </c>
      <c r="F10" s="2" t="s">
        <v>72</v>
      </c>
      <c r="G10" s="2" t="s">
        <v>18</v>
      </c>
      <c r="H10" s="3" t="s">
        <v>18</v>
      </c>
      <c r="I10" s="2" t="s">
        <v>18</v>
      </c>
      <c r="J10" s="2" t="s">
        <v>38</v>
      </c>
      <c r="K10" s="2" t="s">
        <v>73</v>
      </c>
      <c r="L10" s="2" t="s">
        <v>72</v>
      </c>
    </row>
    <row r="11" customFormat="false" ht="35.05" hidden="false" customHeight="false" outlineLevel="0" collapsed="false">
      <c r="A11" s="2" t="s">
        <v>74</v>
      </c>
      <c r="B11" s="2" t="s">
        <v>33</v>
      </c>
      <c r="C11" s="2" t="s">
        <v>75</v>
      </c>
      <c r="D11" s="2" t="s">
        <v>76</v>
      </c>
      <c r="E11" s="3" t="s">
        <v>16</v>
      </c>
      <c r="F11" s="6" t="s">
        <v>77</v>
      </c>
      <c r="G11" s="2" t="s">
        <v>18</v>
      </c>
      <c r="H11" s="3" t="s">
        <v>18</v>
      </c>
      <c r="I11" s="2" t="s">
        <v>18</v>
      </c>
      <c r="J11" s="2" t="s">
        <v>19</v>
      </c>
      <c r="K11" s="2" t="s">
        <v>78</v>
      </c>
      <c r="L11" s="2" t="s">
        <v>79</v>
      </c>
    </row>
    <row r="12" customFormat="false" ht="35.05" hidden="false" customHeight="false" outlineLevel="0" collapsed="false">
      <c r="A12" s="2" t="s">
        <v>80</v>
      </c>
      <c r="B12" s="2" t="s">
        <v>13</v>
      </c>
      <c r="C12" s="2" t="s">
        <v>81</v>
      </c>
      <c r="D12" s="2" t="s">
        <v>82</v>
      </c>
      <c r="E12" s="3" t="s">
        <v>36</v>
      </c>
      <c r="F12" s="6" t="s">
        <v>83</v>
      </c>
      <c r="G12" s="2" t="s">
        <v>84</v>
      </c>
      <c r="H12" s="4" t="s">
        <v>85</v>
      </c>
      <c r="I12" s="2" t="s">
        <v>86</v>
      </c>
      <c r="J12" s="2" t="s">
        <v>38</v>
      </c>
      <c r="K12" s="2" t="s">
        <v>87</v>
      </c>
      <c r="L12" s="2" t="s">
        <v>88</v>
      </c>
    </row>
    <row r="13" customFormat="false" ht="15" hidden="false" customHeight="false" outlineLevel="0" collapsed="false">
      <c r="A13" s="2" t="s">
        <v>89</v>
      </c>
      <c r="B13" s="2" t="s">
        <v>13</v>
      </c>
      <c r="C13" s="2" t="s">
        <v>90</v>
      </c>
      <c r="D13" s="2" t="s">
        <v>91</v>
      </c>
      <c r="E13" s="4" t="s">
        <v>25</v>
      </c>
      <c r="F13" s="6" t="s">
        <v>92</v>
      </c>
      <c r="G13" s="2" t="s">
        <v>18</v>
      </c>
      <c r="H13" s="3" t="s">
        <v>18</v>
      </c>
      <c r="I13" s="2" t="s">
        <v>18</v>
      </c>
      <c r="J13" s="2" t="s">
        <v>30</v>
      </c>
      <c r="K13" s="2" t="s">
        <v>93</v>
      </c>
      <c r="L13" s="2" t="s">
        <v>94</v>
      </c>
    </row>
    <row r="14" customFormat="false" ht="15" hidden="false" customHeight="false" outlineLevel="0" collapsed="false">
      <c r="A14" s="2" t="s">
        <v>95</v>
      </c>
      <c r="B14" s="2" t="s">
        <v>96</v>
      </c>
      <c r="C14" s="2" t="s">
        <v>97</v>
      </c>
      <c r="D14" s="2" t="s">
        <v>35</v>
      </c>
      <c r="E14" s="4" t="s">
        <v>25</v>
      </c>
      <c r="F14" s="6" t="s">
        <v>98</v>
      </c>
      <c r="G14" s="2" t="s">
        <v>18</v>
      </c>
      <c r="H14" s="3" t="s">
        <v>18</v>
      </c>
      <c r="I14" s="2" t="s">
        <v>18</v>
      </c>
      <c r="J14" s="2" t="s">
        <v>30</v>
      </c>
      <c r="K14" s="2" t="s">
        <v>99</v>
      </c>
      <c r="L14" s="2" t="s">
        <v>100</v>
      </c>
    </row>
    <row r="15" customFormat="false" ht="15" hidden="false" customHeight="false" outlineLevel="0" collapsed="false">
      <c r="A15" s="2" t="s">
        <v>101</v>
      </c>
      <c r="B15" s="2" t="s">
        <v>102</v>
      </c>
      <c r="C15" s="2" t="s">
        <v>103</v>
      </c>
      <c r="D15" s="2" t="s">
        <v>104</v>
      </c>
      <c r="E15" s="5" t="s">
        <v>105</v>
      </c>
      <c r="F15" s="6" t="s">
        <v>106</v>
      </c>
      <c r="G15" s="2" t="s">
        <v>18</v>
      </c>
      <c r="H15" s="3" t="s">
        <v>18</v>
      </c>
      <c r="I15" s="2" t="s">
        <v>18</v>
      </c>
      <c r="J15" s="2" t="s">
        <v>107</v>
      </c>
      <c r="K15" s="2" t="s">
        <v>108</v>
      </c>
      <c r="L15" s="2" t="s">
        <v>109</v>
      </c>
    </row>
    <row r="16" customFormat="false" ht="23.85" hidden="false" customHeight="false" outlineLevel="0" collapsed="false">
      <c r="A16" s="2" t="s">
        <v>110</v>
      </c>
      <c r="B16" s="2" t="s">
        <v>56</v>
      </c>
      <c r="C16" s="2" t="s">
        <v>111</v>
      </c>
      <c r="D16" s="2" t="s">
        <v>112</v>
      </c>
      <c r="E16" s="3" t="s">
        <v>36</v>
      </c>
      <c r="F16" s="6" t="s">
        <v>113</v>
      </c>
      <c r="G16" s="2" t="s">
        <v>18</v>
      </c>
      <c r="H16" s="3" t="s">
        <v>18</v>
      </c>
      <c r="I16" s="2" t="s">
        <v>18</v>
      </c>
      <c r="J16" s="2" t="s">
        <v>38</v>
      </c>
      <c r="K16" s="2" t="s">
        <v>114</v>
      </c>
      <c r="L16" s="2" t="s">
        <v>115</v>
      </c>
    </row>
    <row r="17" customFormat="false" ht="15" hidden="false" customHeight="false" outlineLevel="0" collapsed="false">
      <c r="A17" s="2" t="s">
        <v>116</v>
      </c>
      <c r="B17" s="2" t="s">
        <v>65</v>
      </c>
      <c r="C17" s="2" t="s">
        <v>117</v>
      </c>
      <c r="D17" s="2" t="s">
        <v>35</v>
      </c>
      <c r="E17" s="3" t="s">
        <v>36</v>
      </c>
      <c r="F17" s="6" t="s">
        <v>118</v>
      </c>
      <c r="G17" s="2" t="s">
        <v>18</v>
      </c>
      <c r="H17" s="3" t="s">
        <v>18</v>
      </c>
      <c r="I17" s="2" t="s">
        <v>18</v>
      </c>
      <c r="J17" s="2" t="s">
        <v>38</v>
      </c>
      <c r="K17" s="2" t="s">
        <v>119</v>
      </c>
      <c r="L17" s="2" t="s">
        <v>120</v>
      </c>
    </row>
    <row r="18" customFormat="false" ht="15" hidden="false" customHeight="false" outlineLevel="0" collapsed="false">
      <c r="A18" s="2" t="s">
        <v>121</v>
      </c>
      <c r="B18" s="2" t="s">
        <v>102</v>
      </c>
      <c r="C18" s="2" t="s">
        <v>122</v>
      </c>
      <c r="D18" s="2" t="s">
        <v>35</v>
      </c>
      <c r="E18" s="4" t="s">
        <v>25</v>
      </c>
      <c r="F18" s="2" t="s">
        <v>123</v>
      </c>
      <c r="G18" s="2" t="s">
        <v>27</v>
      </c>
      <c r="H18" s="5" t="s">
        <v>28</v>
      </c>
      <c r="I18" s="2" t="s">
        <v>29</v>
      </c>
      <c r="J18" s="2" t="s">
        <v>30</v>
      </c>
      <c r="K18" s="2" t="s">
        <v>124</v>
      </c>
      <c r="L18" s="2" t="s">
        <v>123</v>
      </c>
    </row>
    <row r="19" customFormat="false" ht="15" hidden="false" customHeight="false" outlineLevel="0" collapsed="false">
      <c r="A19" s="2" t="s">
        <v>125</v>
      </c>
      <c r="B19" s="2" t="s">
        <v>126</v>
      </c>
      <c r="C19" s="2"/>
      <c r="D19" s="2" t="s">
        <v>104</v>
      </c>
      <c r="E19" s="3" t="s">
        <v>36</v>
      </c>
      <c r="F19" s="6" t="s">
        <v>127</v>
      </c>
      <c r="G19" s="2" t="s">
        <v>18</v>
      </c>
      <c r="H19" s="3" t="s">
        <v>18</v>
      </c>
      <c r="I19" s="2" t="s">
        <v>18</v>
      </c>
      <c r="J19" s="2" t="s">
        <v>38</v>
      </c>
      <c r="K19" s="2" t="s">
        <v>128</v>
      </c>
      <c r="L19" s="2" t="s">
        <v>129</v>
      </c>
    </row>
    <row r="20" customFormat="false" ht="23.85" hidden="false" customHeight="false" outlineLevel="0" collapsed="false">
      <c r="A20" s="2" t="s">
        <v>130</v>
      </c>
      <c r="B20" s="2" t="s">
        <v>131</v>
      </c>
      <c r="C20" s="2" t="s">
        <v>132</v>
      </c>
      <c r="D20" s="2" t="s">
        <v>43</v>
      </c>
      <c r="E20" s="4" t="s">
        <v>25</v>
      </c>
      <c r="F20" s="2" t="s">
        <v>133</v>
      </c>
      <c r="G20" s="2" t="s">
        <v>134</v>
      </c>
      <c r="H20" s="5" t="s">
        <v>28</v>
      </c>
      <c r="I20" s="2" t="s">
        <v>135</v>
      </c>
      <c r="J20" s="2" t="s">
        <v>30</v>
      </c>
      <c r="K20" s="2" t="s">
        <v>136</v>
      </c>
      <c r="L20" s="2" t="s">
        <v>133</v>
      </c>
    </row>
    <row r="21" customFormat="false" ht="15" hidden="false" customHeight="false" outlineLevel="0" collapsed="false">
      <c r="A21" s="2" t="s">
        <v>137</v>
      </c>
      <c r="B21" s="2" t="s">
        <v>96</v>
      </c>
      <c r="C21" s="2" t="s">
        <v>138</v>
      </c>
      <c r="D21" s="2" t="s">
        <v>139</v>
      </c>
      <c r="E21" s="4" t="s">
        <v>25</v>
      </c>
      <c r="F21" s="6" t="s">
        <v>140</v>
      </c>
      <c r="G21" s="2" t="s">
        <v>27</v>
      </c>
      <c r="H21" s="5" t="s">
        <v>28</v>
      </c>
      <c r="I21" s="2" t="s">
        <v>29</v>
      </c>
      <c r="J21" s="2" t="s">
        <v>30</v>
      </c>
      <c r="K21" s="2" t="s">
        <v>141</v>
      </c>
      <c r="L21" s="2" t="s">
        <v>142</v>
      </c>
    </row>
    <row r="22" customFormat="false" ht="15" hidden="false" customHeight="false" outlineLevel="0" collapsed="false">
      <c r="A22" s="2" t="s">
        <v>143</v>
      </c>
      <c r="B22" s="2" t="s">
        <v>41</v>
      </c>
      <c r="C22" s="2" t="s">
        <v>144</v>
      </c>
      <c r="D22" s="2" t="s">
        <v>104</v>
      </c>
      <c r="E22" s="3" t="s">
        <v>16</v>
      </c>
      <c r="F22" s="2" t="s">
        <v>145</v>
      </c>
      <c r="G22" s="2" t="s">
        <v>18</v>
      </c>
      <c r="H22" s="3" t="s">
        <v>18</v>
      </c>
      <c r="I22" s="2" t="s">
        <v>18</v>
      </c>
      <c r="J22" s="2" t="s">
        <v>19</v>
      </c>
      <c r="K22" s="2" t="s">
        <v>146</v>
      </c>
      <c r="L22" s="2" t="s">
        <v>145</v>
      </c>
    </row>
    <row r="23" customFormat="false" ht="15" hidden="false" customHeight="false" outlineLevel="0" collapsed="false">
      <c r="A23" s="2" t="s">
        <v>147</v>
      </c>
      <c r="B23" s="2" t="s">
        <v>56</v>
      </c>
      <c r="C23" s="2" t="s">
        <v>148</v>
      </c>
      <c r="D23" s="2" t="s">
        <v>149</v>
      </c>
      <c r="E23" s="4" t="s">
        <v>25</v>
      </c>
      <c r="F23" s="2" t="s">
        <v>150</v>
      </c>
      <c r="G23" s="2" t="s">
        <v>18</v>
      </c>
      <c r="H23" s="3" t="s">
        <v>18</v>
      </c>
      <c r="I23" s="2" t="s">
        <v>18</v>
      </c>
      <c r="J23" s="2" t="s">
        <v>30</v>
      </c>
      <c r="K23" s="2" t="s">
        <v>151</v>
      </c>
      <c r="L23" s="2" t="s">
        <v>150</v>
      </c>
    </row>
    <row r="24" customFormat="false" ht="15" hidden="false" customHeight="false" outlineLevel="0" collapsed="false">
      <c r="A24" s="2" t="s">
        <v>152</v>
      </c>
      <c r="B24" s="2" t="s">
        <v>47</v>
      </c>
      <c r="C24" s="2" t="s">
        <v>153</v>
      </c>
      <c r="D24" s="2" t="s">
        <v>154</v>
      </c>
      <c r="E24" s="3" t="s">
        <v>36</v>
      </c>
      <c r="F24" s="7" t="s">
        <v>18</v>
      </c>
      <c r="G24" s="2" t="s">
        <v>18</v>
      </c>
      <c r="H24" s="3" t="s">
        <v>18</v>
      </c>
      <c r="I24" s="2" t="s">
        <v>18</v>
      </c>
      <c r="J24" s="2" t="s">
        <v>38</v>
      </c>
      <c r="K24" s="2" t="s">
        <v>155</v>
      </c>
      <c r="L24" s="2" t="s">
        <v>156</v>
      </c>
    </row>
    <row r="25" customFormat="false" ht="23.85" hidden="false" customHeight="false" outlineLevel="0" collapsed="false">
      <c r="A25" s="2" t="s">
        <v>157</v>
      </c>
      <c r="B25" s="2" t="s">
        <v>47</v>
      </c>
      <c r="C25" s="2" t="s">
        <v>158</v>
      </c>
      <c r="D25" s="2" t="s">
        <v>159</v>
      </c>
      <c r="E25" s="4" t="s">
        <v>25</v>
      </c>
      <c r="F25" s="6" t="s">
        <v>160</v>
      </c>
      <c r="G25" s="2" t="s">
        <v>161</v>
      </c>
      <c r="H25" s="4" t="s">
        <v>85</v>
      </c>
      <c r="I25" s="2" t="s">
        <v>162</v>
      </c>
      <c r="J25" s="2" t="s">
        <v>30</v>
      </c>
      <c r="K25" s="2" t="s">
        <v>163</v>
      </c>
      <c r="L25" s="2" t="s">
        <v>164</v>
      </c>
    </row>
    <row r="26" customFormat="false" ht="23.85" hidden="false" customHeight="false" outlineLevel="0" collapsed="false">
      <c r="A26" s="2" t="s">
        <v>165</v>
      </c>
      <c r="B26" s="2" t="s">
        <v>33</v>
      </c>
      <c r="C26" s="2" t="s">
        <v>166</v>
      </c>
      <c r="D26" s="2" t="s">
        <v>43</v>
      </c>
      <c r="E26" s="4" t="s">
        <v>25</v>
      </c>
      <c r="F26" s="2" t="s">
        <v>167</v>
      </c>
      <c r="G26" s="2" t="s">
        <v>168</v>
      </c>
      <c r="H26" s="4" t="s">
        <v>85</v>
      </c>
      <c r="I26" s="2" t="s">
        <v>169</v>
      </c>
      <c r="J26" s="2" t="s">
        <v>30</v>
      </c>
      <c r="K26" s="2" t="s">
        <v>170</v>
      </c>
      <c r="L26" s="2" t="s">
        <v>167</v>
      </c>
    </row>
    <row r="27" customFormat="false" ht="23.85" hidden="false" customHeight="false" outlineLevel="0" collapsed="false">
      <c r="A27" s="2" t="s">
        <v>171</v>
      </c>
      <c r="B27" s="2" t="s">
        <v>96</v>
      </c>
      <c r="C27" s="2"/>
      <c r="D27" s="2" t="s">
        <v>43</v>
      </c>
      <c r="E27" s="4" t="s">
        <v>25</v>
      </c>
      <c r="F27" s="6" t="s">
        <v>172</v>
      </c>
      <c r="G27" s="2" t="s">
        <v>51</v>
      </c>
      <c r="H27" s="5" t="s">
        <v>28</v>
      </c>
      <c r="I27" s="2" t="s">
        <v>52</v>
      </c>
      <c r="J27" s="2" t="s">
        <v>30</v>
      </c>
      <c r="K27" s="2" t="s">
        <v>173</v>
      </c>
      <c r="L27" s="2" t="s">
        <v>174</v>
      </c>
    </row>
    <row r="28" customFormat="false" ht="15" hidden="false" customHeight="false" outlineLevel="0" collapsed="false">
      <c r="A28" s="2" t="s">
        <v>175</v>
      </c>
      <c r="B28" s="2" t="s">
        <v>22</v>
      </c>
      <c r="C28" s="2" t="s">
        <v>176</v>
      </c>
      <c r="D28" s="2" t="s">
        <v>177</v>
      </c>
      <c r="E28" s="3" t="s">
        <v>36</v>
      </c>
      <c r="F28" s="7" t="s">
        <v>18</v>
      </c>
      <c r="G28" s="2" t="s">
        <v>18</v>
      </c>
      <c r="H28" s="3" t="s">
        <v>18</v>
      </c>
      <c r="I28" s="2" t="s">
        <v>18</v>
      </c>
      <c r="J28" s="2" t="s">
        <v>38</v>
      </c>
      <c r="K28" s="2" t="s">
        <v>178</v>
      </c>
      <c r="L28" s="2" t="s">
        <v>179</v>
      </c>
    </row>
    <row r="29" customFormat="false" ht="15" hidden="false" customHeight="false" outlineLevel="0" collapsed="false">
      <c r="A29" s="2" t="s">
        <v>180</v>
      </c>
      <c r="B29" s="2" t="s">
        <v>41</v>
      </c>
      <c r="C29" s="2" t="s">
        <v>181</v>
      </c>
      <c r="D29" s="2" t="s">
        <v>43</v>
      </c>
      <c r="E29" s="4" t="s">
        <v>25</v>
      </c>
      <c r="F29" s="6" t="s">
        <v>182</v>
      </c>
      <c r="G29" s="2" t="s">
        <v>161</v>
      </c>
      <c r="H29" s="4" t="s">
        <v>85</v>
      </c>
      <c r="I29" s="2" t="s">
        <v>162</v>
      </c>
      <c r="J29" s="2" t="s">
        <v>30</v>
      </c>
      <c r="K29" s="2" t="s">
        <v>183</v>
      </c>
      <c r="L29" s="2" t="s">
        <v>184</v>
      </c>
    </row>
    <row r="30" customFormat="false" ht="23.85" hidden="false" customHeight="false" outlineLevel="0" collapsed="false">
      <c r="A30" s="2" t="s">
        <v>185</v>
      </c>
      <c r="B30" s="2" t="s">
        <v>22</v>
      </c>
      <c r="C30" s="2" t="s">
        <v>186</v>
      </c>
      <c r="D30" s="2" t="s">
        <v>43</v>
      </c>
      <c r="E30" s="5" t="s">
        <v>105</v>
      </c>
      <c r="F30" s="6" t="s">
        <v>187</v>
      </c>
      <c r="G30" s="2" t="s">
        <v>188</v>
      </c>
      <c r="H30" s="3" t="s">
        <v>18</v>
      </c>
      <c r="I30" s="2" t="s">
        <v>189</v>
      </c>
      <c r="J30" s="2" t="s">
        <v>107</v>
      </c>
      <c r="K30" s="2" t="s">
        <v>190</v>
      </c>
      <c r="L30" s="2" t="s">
        <v>191</v>
      </c>
    </row>
    <row r="31" customFormat="false" ht="15" hidden="false" customHeight="false" outlineLevel="0" collapsed="false">
      <c r="A31" s="2" t="s">
        <v>192</v>
      </c>
      <c r="B31" s="2" t="s">
        <v>47</v>
      </c>
      <c r="C31" s="2"/>
      <c r="D31" s="2" t="s">
        <v>35</v>
      </c>
      <c r="E31" s="3" t="s">
        <v>36</v>
      </c>
      <c r="F31" s="7" t="s">
        <v>18</v>
      </c>
      <c r="G31" s="2" t="s">
        <v>18</v>
      </c>
      <c r="H31" s="3" t="s">
        <v>18</v>
      </c>
      <c r="I31" s="2" t="s">
        <v>18</v>
      </c>
      <c r="J31" s="2" t="s">
        <v>38</v>
      </c>
      <c r="K31" s="2" t="s">
        <v>193</v>
      </c>
      <c r="L31" s="2" t="s">
        <v>194</v>
      </c>
    </row>
    <row r="32" customFormat="false" ht="23.85" hidden="false" customHeight="false" outlineLevel="0" collapsed="false">
      <c r="A32" s="2" t="s">
        <v>195</v>
      </c>
      <c r="B32" s="2" t="s">
        <v>47</v>
      </c>
      <c r="C32" s="2" t="s">
        <v>196</v>
      </c>
      <c r="D32" s="2" t="s">
        <v>197</v>
      </c>
      <c r="E32" s="3" t="s">
        <v>36</v>
      </c>
      <c r="F32" s="6" t="s">
        <v>198</v>
      </c>
      <c r="G32" s="2" t="s">
        <v>199</v>
      </c>
      <c r="H32" s="4" t="s">
        <v>85</v>
      </c>
      <c r="I32" s="2" t="s">
        <v>200</v>
      </c>
      <c r="J32" s="2" t="s">
        <v>38</v>
      </c>
      <c r="K32" s="2" t="s">
        <v>201</v>
      </c>
      <c r="L32" s="2" t="s">
        <v>202</v>
      </c>
    </row>
    <row r="33" customFormat="false" ht="15" hidden="false" customHeight="false" outlineLevel="0" collapsed="false">
      <c r="A33" s="2" t="s">
        <v>203</v>
      </c>
      <c r="B33" s="2" t="s">
        <v>56</v>
      </c>
      <c r="C33" s="2" t="s">
        <v>204</v>
      </c>
      <c r="D33" s="2" t="s">
        <v>104</v>
      </c>
      <c r="E33" s="3" t="s">
        <v>16</v>
      </c>
      <c r="F33" s="2" t="s">
        <v>205</v>
      </c>
      <c r="G33" s="2" t="s">
        <v>18</v>
      </c>
      <c r="H33" s="3" t="s">
        <v>18</v>
      </c>
      <c r="I33" s="2" t="s">
        <v>18</v>
      </c>
      <c r="J33" s="2" t="s">
        <v>19</v>
      </c>
      <c r="K33" s="2" t="s">
        <v>206</v>
      </c>
      <c r="L33" s="2" t="s">
        <v>205</v>
      </c>
    </row>
    <row r="34" customFormat="false" ht="15" hidden="false" customHeight="false" outlineLevel="0" collapsed="false">
      <c r="A34" s="2" t="s">
        <v>207</v>
      </c>
      <c r="B34" s="2" t="s">
        <v>65</v>
      </c>
      <c r="C34" s="2" t="s">
        <v>208</v>
      </c>
      <c r="D34" s="2" t="s">
        <v>209</v>
      </c>
      <c r="E34" s="4" t="s">
        <v>25</v>
      </c>
      <c r="F34" s="2" t="s">
        <v>210</v>
      </c>
      <c r="G34" s="2" t="s">
        <v>211</v>
      </c>
      <c r="H34" s="5" t="s">
        <v>28</v>
      </c>
      <c r="I34" s="2" t="s">
        <v>212</v>
      </c>
      <c r="J34" s="2" t="s">
        <v>30</v>
      </c>
      <c r="K34" s="2" t="s">
        <v>213</v>
      </c>
      <c r="L34" s="2" t="s">
        <v>210</v>
      </c>
    </row>
    <row r="35" customFormat="false" ht="23.85" hidden="false" customHeight="false" outlineLevel="0" collapsed="false">
      <c r="A35" s="2" t="s">
        <v>214</v>
      </c>
      <c r="B35" s="2" t="s">
        <v>131</v>
      </c>
      <c r="C35" s="2" t="s">
        <v>215</v>
      </c>
      <c r="D35" s="2" t="s">
        <v>216</v>
      </c>
      <c r="E35" s="3" t="s">
        <v>36</v>
      </c>
      <c r="F35" s="6" t="s">
        <v>217</v>
      </c>
      <c r="G35" s="2" t="s">
        <v>18</v>
      </c>
      <c r="H35" s="3" t="s">
        <v>18</v>
      </c>
      <c r="I35" s="2" t="s">
        <v>18</v>
      </c>
      <c r="J35" s="2" t="s">
        <v>38</v>
      </c>
      <c r="K35" s="2" t="s">
        <v>218</v>
      </c>
      <c r="L35" s="2" t="s">
        <v>219</v>
      </c>
    </row>
    <row r="36" customFormat="false" ht="15" hidden="false" customHeight="false" outlineLevel="0" collapsed="false">
      <c r="A36" s="2" t="s">
        <v>220</v>
      </c>
      <c r="B36" s="2" t="s">
        <v>96</v>
      </c>
      <c r="C36" s="2" t="s">
        <v>221</v>
      </c>
      <c r="D36" s="2" t="s">
        <v>222</v>
      </c>
      <c r="E36" s="4" t="s">
        <v>25</v>
      </c>
      <c r="F36" s="2" t="s">
        <v>223</v>
      </c>
      <c r="G36" s="2" t="s">
        <v>27</v>
      </c>
      <c r="H36" s="5" t="s">
        <v>28</v>
      </c>
      <c r="I36" s="2" t="s">
        <v>29</v>
      </c>
      <c r="J36" s="2" t="s">
        <v>30</v>
      </c>
      <c r="K36" s="2" t="s">
        <v>224</v>
      </c>
      <c r="L36" s="2" t="s">
        <v>223</v>
      </c>
    </row>
    <row r="37" customFormat="false" ht="15" hidden="false" customHeight="false" outlineLevel="0" collapsed="false">
      <c r="A37" s="2" t="s">
        <v>225</v>
      </c>
      <c r="B37" s="2" t="s">
        <v>22</v>
      </c>
      <c r="C37" s="2" t="s">
        <v>226</v>
      </c>
      <c r="D37" s="2" t="s">
        <v>35</v>
      </c>
      <c r="E37" s="4" t="s">
        <v>25</v>
      </c>
      <c r="F37" s="2" t="s">
        <v>227</v>
      </c>
      <c r="G37" s="2" t="s">
        <v>228</v>
      </c>
      <c r="H37" s="4" t="s">
        <v>85</v>
      </c>
      <c r="I37" s="2" t="s">
        <v>229</v>
      </c>
      <c r="J37" s="2" t="s">
        <v>30</v>
      </c>
      <c r="K37" s="2" t="s">
        <v>230</v>
      </c>
      <c r="L37" s="2" t="s">
        <v>227</v>
      </c>
    </row>
    <row r="38" customFormat="false" ht="15" hidden="false" customHeight="false" outlineLevel="0" collapsed="false">
      <c r="A38" s="2" t="s">
        <v>231</v>
      </c>
      <c r="B38" s="2" t="s">
        <v>41</v>
      </c>
      <c r="C38" s="2" t="s">
        <v>232</v>
      </c>
      <c r="D38" s="2" t="s">
        <v>104</v>
      </c>
      <c r="E38" s="3" t="s">
        <v>16</v>
      </c>
      <c r="F38" s="2" t="s">
        <v>233</v>
      </c>
      <c r="G38" s="2" t="s">
        <v>161</v>
      </c>
      <c r="H38" s="4" t="s">
        <v>85</v>
      </c>
      <c r="I38" s="2" t="s">
        <v>162</v>
      </c>
      <c r="J38" s="2" t="s">
        <v>19</v>
      </c>
      <c r="K38" s="2" t="s">
        <v>234</v>
      </c>
      <c r="L38" s="2" t="s">
        <v>233</v>
      </c>
    </row>
    <row r="39" customFormat="false" ht="23.85" hidden="false" customHeight="false" outlineLevel="0" collapsed="false">
      <c r="A39" s="2" t="s">
        <v>235</v>
      </c>
      <c r="B39" s="2" t="s">
        <v>47</v>
      </c>
      <c r="C39" s="2"/>
      <c r="D39" s="2" t="s">
        <v>236</v>
      </c>
      <c r="E39" s="4" t="s">
        <v>25</v>
      </c>
      <c r="F39" s="6" t="s">
        <v>237</v>
      </c>
      <c r="G39" s="2" t="s">
        <v>18</v>
      </c>
      <c r="H39" s="3" t="s">
        <v>18</v>
      </c>
      <c r="I39" s="2" t="s">
        <v>18</v>
      </c>
      <c r="J39" s="2" t="s">
        <v>30</v>
      </c>
      <c r="K39" s="2" t="s">
        <v>238</v>
      </c>
      <c r="L39" s="2" t="s">
        <v>239</v>
      </c>
    </row>
    <row r="40" customFormat="false" ht="15" hidden="false" customHeight="false" outlineLevel="0" collapsed="false">
      <c r="A40" s="2" t="s">
        <v>240</v>
      </c>
      <c r="B40" s="2" t="s">
        <v>65</v>
      </c>
      <c r="C40" s="2" t="s">
        <v>241</v>
      </c>
      <c r="D40" s="2" t="s">
        <v>139</v>
      </c>
      <c r="E40" s="4" t="s">
        <v>25</v>
      </c>
      <c r="F40" s="6" t="s">
        <v>242</v>
      </c>
      <c r="G40" s="2" t="s">
        <v>228</v>
      </c>
      <c r="H40" s="4" t="s">
        <v>85</v>
      </c>
      <c r="I40" s="2" t="s">
        <v>229</v>
      </c>
      <c r="J40" s="2" t="s">
        <v>30</v>
      </c>
      <c r="K40" s="2" t="s">
        <v>243</v>
      </c>
      <c r="L40" s="2" t="s">
        <v>244</v>
      </c>
    </row>
    <row r="41" customFormat="false" ht="23.85" hidden="false" customHeight="false" outlineLevel="0" collapsed="false">
      <c r="A41" s="2" t="s">
        <v>245</v>
      </c>
      <c r="B41" s="2" t="s">
        <v>47</v>
      </c>
      <c r="C41" s="2" t="s">
        <v>246</v>
      </c>
      <c r="D41" s="2" t="s">
        <v>43</v>
      </c>
      <c r="E41" s="3" t="s">
        <v>36</v>
      </c>
      <c r="F41" s="7" t="s">
        <v>18</v>
      </c>
      <c r="G41" s="2" t="s">
        <v>18</v>
      </c>
      <c r="H41" s="3" t="s">
        <v>18</v>
      </c>
      <c r="I41" s="2" t="s">
        <v>18</v>
      </c>
      <c r="J41" s="2" t="s">
        <v>38</v>
      </c>
      <c r="K41" s="2" t="s">
        <v>247</v>
      </c>
      <c r="L41" s="2" t="s">
        <v>248</v>
      </c>
    </row>
    <row r="42" customFormat="false" ht="23.85" hidden="false" customHeight="false" outlineLevel="0" collapsed="false">
      <c r="A42" s="2" t="s">
        <v>249</v>
      </c>
      <c r="B42" s="2" t="s">
        <v>70</v>
      </c>
      <c r="C42" s="2" t="s">
        <v>250</v>
      </c>
      <c r="D42" s="2" t="s">
        <v>35</v>
      </c>
      <c r="E42" s="3" t="s">
        <v>36</v>
      </c>
      <c r="F42" s="6" t="s">
        <v>251</v>
      </c>
      <c r="G42" s="2" t="s">
        <v>252</v>
      </c>
      <c r="H42" s="5" t="s">
        <v>28</v>
      </c>
      <c r="I42" s="2" t="s">
        <v>253</v>
      </c>
      <c r="J42" s="2" t="s">
        <v>38</v>
      </c>
      <c r="K42" s="2" t="s">
        <v>254</v>
      </c>
      <c r="L42" s="2" t="s">
        <v>255</v>
      </c>
    </row>
    <row r="43" customFormat="false" ht="15" hidden="false" customHeight="false" outlineLevel="0" collapsed="false">
      <c r="A43" s="2" t="s">
        <v>256</v>
      </c>
      <c r="B43" s="2" t="s">
        <v>56</v>
      </c>
      <c r="C43" s="2" t="s">
        <v>257</v>
      </c>
      <c r="D43" s="2" t="s">
        <v>35</v>
      </c>
      <c r="E43" s="4" t="s">
        <v>25</v>
      </c>
      <c r="F43" s="6" t="s">
        <v>258</v>
      </c>
      <c r="G43" s="2" t="s">
        <v>259</v>
      </c>
      <c r="H43" s="3" t="s">
        <v>18</v>
      </c>
      <c r="I43" s="2" t="s">
        <v>260</v>
      </c>
      <c r="J43" s="2" t="s">
        <v>30</v>
      </c>
      <c r="K43" s="2" t="s">
        <v>261</v>
      </c>
      <c r="L43" s="2" t="s">
        <v>262</v>
      </c>
    </row>
    <row r="44" customFormat="false" ht="15" hidden="false" customHeight="false" outlineLevel="0" collapsed="false">
      <c r="A44" s="2" t="s">
        <v>263</v>
      </c>
      <c r="B44" s="2" t="s">
        <v>13</v>
      </c>
      <c r="C44" s="2" t="s">
        <v>264</v>
      </c>
      <c r="D44" s="2" t="s">
        <v>139</v>
      </c>
      <c r="E44" s="4" t="s">
        <v>25</v>
      </c>
      <c r="F44" s="6" t="s">
        <v>265</v>
      </c>
      <c r="G44" s="2" t="s">
        <v>266</v>
      </c>
      <c r="H44" s="4" t="s">
        <v>85</v>
      </c>
      <c r="I44" s="2" t="s">
        <v>267</v>
      </c>
      <c r="J44" s="2" t="s">
        <v>30</v>
      </c>
      <c r="K44" s="2" t="s">
        <v>268</v>
      </c>
      <c r="L44" s="2" t="s">
        <v>269</v>
      </c>
    </row>
    <row r="45" customFormat="false" ht="15" hidden="false" customHeight="false" outlineLevel="0" collapsed="false">
      <c r="A45" s="2" t="s">
        <v>270</v>
      </c>
      <c r="B45" s="2" t="s">
        <v>96</v>
      </c>
      <c r="C45" s="2" t="s">
        <v>271</v>
      </c>
      <c r="D45" s="2" t="s">
        <v>35</v>
      </c>
      <c r="E45" s="3" t="s">
        <v>36</v>
      </c>
      <c r="F45" s="7" t="s">
        <v>18</v>
      </c>
      <c r="G45" s="2" t="s">
        <v>18</v>
      </c>
      <c r="H45" s="3" t="s">
        <v>18</v>
      </c>
      <c r="I45" s="2" t="s">
        <v>18</v>
      </c>
      <c r="J45" s="2" t="s">
        <v>38</v>
      </c>
      <c r="K45" s="2" t="s">
        <v>272</v>
      </c>
      <c r="L45" s="2" t="s">
        <v>273</v>
      </c>
    </row>
    <row r="46" customFormat="false" ht="23.85" hidden="false" customHeight="false" outlineLevel="0" collapsed="false">
      <c r="A46" s="2" t="s">
        <v>274</v>
      </c>
      <c r="B46" s="2" t="s">
        <v>13</v>
      </c>
      <c r="C46" s="2" t="s">
        <v>275</v>
      </c>
      <c r="D46" s="2" t="s">
        <v>35</v>
      </c>
      <c r="E46" s="4" t="s">
        <v>25</v>
      </c>
      <c r="F46" s="6" t="s">
        <v>276</v>
      </c>
      <c r="G46" s="2" t="s">
        <v>188</v>
      </c>
      <c r="H46" s="5" t="s">
        <v>28</v>
      </c>
      <c r="I46" s="2" t="s">
        <v>189</v>
      </c>
      <c r="J46" s="2" t="s">
        <v>30</v>
      </c>
      <c r="K46" s="2" t="s">
        <v>277</v>
      </c>
      <c r="L46" s="2" t="s">
        <v>278</v>
      </c>
    </row>
    <row r="47" customFormat="false" ht="15" hidden="false" customHeight="false" outlineLevel="0" collapsed="false">
      <c r="A47" s="2" t="s">
        <v>279</v>
      </c>
      <c r="B47" s="2" t="s">
        <v>102</v>
      </c>
      <c r="C47" s="2" t="s">
        <v>280</v>
      </c>
      <c r="D47" s="2" t="s">
        <v>104</v>
      </c>
      <c r="E47" s="4" t="s">
        <v>25</v>
      </c>
      <c r="F47" s="6" t="s">
        <v>281</v>
      </c>
      <c r="G47" s="2" t="s">
        <v>134</v>
      </c>
      <c r="H47" s="5" t="s">
        <v>28</v>
      </c>
      <c r="I47" s="2" t="s">
        <v>135</v>
      </c>
      <c r="J47" s="2" t="s">
        <v>30</v>
      </c>
      <c r="K47" s="2" t="s">
        <v>282</v>
      </c>
      <c r="L47" s="2" t="s">
        <v>283</v>
      </c>
    </row>
    <row r="48" customFormat="false" ht="15" hidden="false" customHeight="false" outlineLevel="0" collapsed="false">
      <c r="A48" s="2" t="s">
        <v>284</v>
      </c>
      <c r="B48" s="2" t="s">
        <v>102</v>
      </c>
      <c r="C48" s="2" t="s">
        <v>285</v>
      </c>
      <c r="D48" s="2" t="s">
        <v>139</v>
      </c>
      <c r="E48" s="4" t="s">
        <v>25</v>
      </c>
      <c r="F48" s="6" t="s">
        <v>286</v>
      </c>
      <c r="G48" s="2" t="s">
        <v>287</v>
      </c>
      <c r="H48" s="4" t="s">
        <v>85</v>
      </c>
      <c r="I48" s="2" t="s">
        <v>288</v>
      </c>
      <c r="J48" s="2" t="s">
        <v>30</v>
      </c>
      <c r="K48" s="2" t="s">
        <v>289</v>
      </c>
      <c r="L48" s="2" t="s">
        <v>290</v>
      </c>
    </row>
    <row r="49" customFormat="false" ht="15" hidden="false" customHeight="false" outlineLevel="0" collapsed="false">
      <c r="A49" s="2" t="s">
        <v>291</v>
      </c>
      <c r="B49" s="2" t="s">
        <v>70</v>
      </c>
      <c r="C49" s="2" t="s">
        <v>292</v>
      </c>
      <c r="D49" s="2" t="s">
        <v>35</v>
      </c>
      <c r="E49" s="3" t="s">
        <v>36</v>
      </c>
      <c r="F49" s="7" t="s">
        <v>18</v>
      </c>
      <c r="G49" s="2" t="s">
        <v>18</v>
      </c>
      <c r="H49" s="3" t="s">
        <v>18</v>
      </c>
      <c r="I49" s="2" t="s">
        <v>18</v>
      </c>
      <c r="J49" s="2" t="s">
        <v>38</v>
      </c>
      <c r="K49" s="2" t="s">
        <v>293</v>
      </c>
      <c r="L49" s="2" t="s">
        <v>294</v>
      </c>
    </row>
    <row r="50" customFormat="false" ht="15" hidden="false" customHeight="false" outlineLevel="0" collapsed="false">
      <c r="A50" s="2" t="s">
        <v>295</v>
      </c>
      <c r="B50" s="2" t="s">
        <v>70</v>
      </c>
      <c r="C50" s="2" t="s">
        <v>296</v>
      </c>
      <c r="D50" s="2" t="s">
        <v>297</v>
      </c>
      <c r="E50" s="4" t="s">
        <v>25</v>
      </c>
      <c r="F50" s="6" t="s">
        <v>298</v>
      </c>
      <c r="G50" s="2" t="s">
        <v>211</v>
      </c>
      <c r="H50" s="5" t="s">
        <v>28</v>
      </c>
      <c r="I50" s="2" t="s">
        <v>212</v>
      </c>
      <c r="J50" s="2" t="s">
        <v>30</v>
      </c>
      <c r="K50" s="2" t="s">
        <v>299</v>
      </c>
      <c r="L50" s="2" t="s">
        <v>300</v>
      </c>
    </row>
    <row r="51" customFormat="false" ht="15" hidden="false" customHeight="false" outlineLevel="0" collapsed="false">
      <c r="A51" s="2" t="s">
        <v>301</v>
      </c>
      <c r="B51" s="2" t="s">
        <v>131</v>
      </c>
      <c r="C51" s="2"/>
      <c r="D51" s="2" t="s">
        <v>35</v>
      </c>
      <c r="E51" s="3" t="s">
        <v>36</v>
      </c>
      <c r="F51" s="6" t="s">
        <v>302</v>
      </c>
      <c r="G51" s="2" t="s">
        <v>84</v>
      </c>
      <c r="H51" s="3" t="s">
        <v>18</v>
      </c>
      <c r="I51" s="2" t="s">
        <v>86</v>
      </c>
      <c r="J51" s="2" t="s">
        <v>38</v>
      </c>
      <c r="K51" s="2" t="s">
        <v>303</v>
      </c>
      <c r="L51" s="2" t="s">
        <v>304</v>
      </c>
    </row>
    <row r="52" customFormat="false" ht="15" hidden="false" customHeight="false" outlineLevel="0" collapsed="false">
      <c r="A52" s="2" t="s">
        <v>305</v>
      </c>
      <c r="B52" s="2" t="s">
        <v>13</v>
      </c>
      <c r="C52" s="2" t="s">
        <v>306</v>
      </c>
      <c r="D52" s="2" t="s">
        <v>35</v>
      </c>
      <c r="E52" s="3" t="s">
        <v>36</v>
      </c>
      <c r="F52" s="7" t="s">
        <v>18</v>
      </c>
      <c r="G52" s="2" t="s">
        <v>18</v>
      </c>
      <c r="H52" s="3" t="s">
        <v>18</v>
      </c>
      <c r="I52" s="2" t="s">
        <v>18</v>
      </c>
      <c r="J52" s="2" t="s">
        <v>38</v>
      </c>
      <c r="K52" s="2" t="s">
        <v>307</v>
      </c>
      <c r="L52" s="2" t="s">
        <v>308</v>
      </c>
    </row>
    <row r="53" customFormat="false" ht="15" hidden="false" customHeight="false" outlineLevel="0" collapsed="false">
      <c r="A53" s="2" t="s">
        <v>309</v>
      </c>
      <c r="B53" s="2" t="s">
        <v>102</v>
      </c>
      <c r="C53" s="2" t="s">
        <v>310</v>
      </c>
      <c r="D53" s="2" t="s">
        <v>311</v>
      </c>
      <c r="E53" s="3" t="s">
        <v>16</v>
      </c>
      <c r="F53" s="6" t="s">
        <v>312</v>
      </c>
      <c r="G53" s="2" t="s">
        <v>18</v>
      </c>
      <c r="H53" s="3" t="s">
        <v>18</v>
      </c>
      <c r="I53" s="2" t="s">
        <v>18</v>
      </c>
      <c r="J53" s="2" t="s">
        <v>19</v>
      </c>
      <c r="K53" s="2" t="s">
        <v>313</v>
      </c>
      <c r="L53" s="2" t="s">
        <v>314</v>
      </c>
    </row>
    <row r="54" customFormat="false" ht="15" hidden="false" customHeight="false" outlineLevel="0" collapsed="false">
      <c r="A54" s="2" t="s">
        <v>315</v>
      </c>
      <c r="B54" s="2" t="s">
        <v>56</v>
      </c>
      <c r="C54" s="2" t="s">
        <v>316</v>
      </c>
      <c r="D54" s="2" t="s">
        <v>139</v>
      </c>
      <c r="E54" s="4" t="s">
        <v>25</v>
      </c>
      <c r="F54" s="2" t="s">
        <v>317</v>
      </c>
      <c r="G54" s="2" t="s">
        <v>228</v>
      </c>
      <c r="H54" s="4" t="s">
        <v>85</v>
      </c>
      <c r="I54" s="2" t="s">
        <v>229</v>
      </c>
      <c r="J54" s="2" t="s">
        <v>30</v>
      </c>
      <c r="K54" s="2" t="s">
        <v>318</v>
      </c>
      <c r="L54" s="2" t="s">
        <v>317</v>
      </c>
    </row>
    <row r="55" customFormat="false" ht="23.85" hidden="false" customHeight="false" outlineLevel="0" collapsed="false">
      <c r="A55" s="2" t="s">
        <v>319</v>
      </c>
      <c r="B55" s="2" t="s">
        <v>41</v>
      </c>
      <c r="C55" s="2" t="s">
        <v>320</v>
      </c>
      <c r="D55" s="2" t="s">
        <v>216</v>
      </c>
      <c r="E55" s="4" t="s">
        <v>25</v>
      </c>
      <c r="F55" s="2" t="s">
        <v>321</v>
      </c>
      <c r="G55" s="2" t="s">
        <v>27</v>
      </c>
      <c r="H55" s="5" t="s">
        <v>28</v>
      </c>
      <c r="I55" s="2" t="s">
        <v>29</v>
      </c>
      <c r="J55" s="2" t="s">
        <v>30</v>
      </c>
      <c r="K55" s="2" t="s">
        <v>322</v>
      </c>
      <c r="L55" s="2" t="s">
        <v>321</v>
      </c>
    </row>
    <row r="56" customFormat="false" ht="23.85" hidden="false" customHeight="false" outlineLevel="0" collapsed="false">
      <c r="A56" s="2" t="s">
        <v>323</v>
      </c>
      <c r="B56" s="2" t="s">
        <v>96</v>
      </c>
      <c r="C56" s="2" t="s">
        <v>324</v>
      </c>
      <c r="D56" s="2" t="s">
        <v>35</v>
      </c>
      <c r="E56" s="3" t="s">
        <v>36</v>
      </c>
      <c r="F56" s="7" t="s">
        <v>18</v>
      </c>
      <c r="G56" s="2" t="s">
        <v>18</v>
      </c>
      <c r="H56" s="3" t="s">
        <v>18</v>
      </c>
      <c r="I56" s="2" t="s">
        <v>18</v>
      </c>
      <c r="J56" s="2" t="s">
        <v>38</v>
      </c>
      <c r="K56" s="2" t="s">
        <v>325</v>
      </c>
      <c r="L56" s="2" t="s">
        <v>326</v>
      </c>
    </row>
    <row r="57" customFormat="false" ht="15" hidden="false" customHeight="false" outlineLevel="0" collapsed="false">
      <c r="A57" s="2" t="s">
        <v>327</v>
      </c>
      <c r="B57" s="2" t="s">
        <v>102</v>
      </c>
      <c r="C57" s="2" t="s">
        <v>328</v>
      </c>
      <c r="D57" s="2" t="s">
        <v>104</v>
      </c>
      <c r="E57" s="3" t="s">
        <v>16</v>
      </c>
      <c r="F57" s="2" t="s">
        <v>329</v>
      </c>
      <c r="G57" s="2" t="s">
        <v>211</v>
      </c>
      <c r="H57" s="5" t="s">
        <v>28</v>
      </c>
      <c r="I57" s="2" t="s">
        <v>212</v>
      </c>
      <c r="J57" s="2" t="s">
        <v>19</v>
      </c>
      <c r="K57" s="2" t="s">
        <v>330</v>
      </c>
      <c r="L57" s="2" t="s">
        <v>329</v>
      </c>
    </row>
    <row r="58" customFormat="false" ht="23.85" hidden="false" customHeight="false" outlineLevel="0" collapsed="false">
      <c r="A58" s="2" t="s">
        <v>331</v>
      </c>
      <c r="B58" s="2" t="s">
        <v>22</v>
      </c>
      <c r="C58" s="2" t="s">
        <v>332</v>
      </c>
      <c r="D58" s="2" t="s">
        <v>333</v>
      </c>
      <c r="E58" s="4" t="s">
        <v>25</v>
      </c>
      <c r="F58" s="6" t="s">
        <v>334</v>
      </c>
      <c r="G58" s="2" t="s">
        <v>335</v>
      </c>
      <c r="H58" s="4" t="s">
        <v>85</v>
      </c>
      <c r="I58" s="2" t="s">
        <v>336</v>
      </c>
      <c r="J58" s="2" t="s">
        <v>30</v>
      </c>
      <c r="K58" s="2" t="s">
        <v>337</v>
      </c>
      <c r="L58" s="2" t="s">
        <v>338</v>
      </c>
    </row>
    <row r="59" customFormat="false" ht="15" hidden="false" customHeight="false" outlineLevel="0" collapsed="false">
      <c r="A59" s="2" t="s">
        <v>339</v>
      </c>
      <c r="B59" s="2" t="s">
        <v>70</v>
      </c>
      <c r="C59" s="2" t="s">
        <v>340</v>
      </c>
      <c r="D59" s="2" t="s">
        <v>43</v>
      </c>
      <c r="E59" s="4" t="s">
        <v>25</v>
      </c>
      <c r="F59" s="2" t="s">
        <v>341</v>
      </c>
      <c r="G59" s="2" t="s">
        <v>287</v>
      </c>
      <c r="H59" s="4" t="s">
        <v>85</v>
      </c>
      <c r="I59" s="2" t="s">
        <v>288</v>
      </c>
      <c r="J59" s="2" t="s">
        <v>30</v>
      </c>
      <c r="K59" s="2" t="s">
        <v>342</v>
      </c>
      <c r="L59" s="2" t="s">
        <v>341</v>
      </c>
    </row>
    <row r="60" customFormat="false" ht="35.05" hidden="false" customHeight="false" outlineLevel="0" collapsed="false">
      <c r="A60" s="2" t="s">
        <v>343</v>
      </c>
      <c r="B60" s="2" t="s">
        <v>102</v>
      </c>
      <c r="C60" s="2" t="s">
        <v>344</v>
      </c>
      <c r="D60" s="2" t="s">
        <v>345</v>
      </c>
      <c r="E60" s="4" t="s">
        <v>25</v>
      </c>
      <c r="F60" s="6" t="s">
        <v>346</v>
      </c>
      <c r="G60" s="2" t="s">
        <v>347</v>
      </c>
      <c r="H60" s="3" t="s">
        <v>18</v>
      </c>
      <c r="I60" s="2" t="s">
        <v>348</v>
      </c>
      <c r="J60" s="2" t="s">
        <v>30</v>
      </c>
      <c r="K60" s="2" t="s">
        <v>349</v>
      </c>
      <c r="L60" s="2" t="s">
        <v>350</v>
      </c>
    </row>
    <row r="61" customFormat="false" ht="15" hidden="false" customHeight="false" outlineLevel="0" collapsed="false">
      <c r="A61" s="2" t="s">
        <v>351</v>
      </c>
      <c r="B61" s="2" t="s">
        <v>56</v>
      </c>
      <c r="C61" s="2" t="s">
        <v>352</v>
      </c>
      <c r="D61" s="2" t="s">
        <v>353</v>
      </c>
      <c r="E61" s="4" t="s">
        <v>25</v>
      </c>
      <c r="F61" s="6" t="s">
        <v>354</v>
      </c>
      <c r="G61" s="2" t="s">
        <v>259</v>
      </c>
      <c r="H61" s="5" t="s">
        <v>28</v>
      </c>
      <c r="I61" s="2" t="s">
        <v>30</v>
      </c>
      <c r="J61" s="2" t="s">
        <v>30</v>
      </c>
      <c r="K61" s="2" t="s">
        <v>355</v>
      </c>
      <c r="L61" s="2" t="s">
        <v>356</v>
      </c>
    </row>
    <row r="62" customFormat="false" ht="15" hidden="false" customHeight="false" outlineLevel="0" collapsed="false">
      <c r="A62" s="2" t="s">
        <v>357</v>
      </c>
      <c r="B62" s="2" t="s">
        <v>96</v>
      </c>
      <c r="C62" s="2"/>
      <c r="D62" s="2" t="s">
        <v>358</v>
      </c>
      <c r="E62" s="5" t="s">
        <v>359</v>
      </c>
      <c r="F62" s="6" t="s">
        <v>360</v>
      </c>
      <c r="G62" s="2" t="s">
        <v>161</v>
      </c>
      <c r="H62" s="4" t="s">
        <v>85</v>
      </c>
      <c r="I62" s="2" t="s">
        <v>162</v>
      </c>
      <c r="J62" s="2" t="s">
        <v>361</v>
      </c>
      <c r="K62" s="2" t="s">
        <v>362</v>
      </c>
      <c r="L62" s="2" t="s">
        <v>363</v>
      </c>
    </row>
    <row r="63" customFormat="false" ht="23.85" hidden="false" customHeight="false" outlineLevel="0" collapsed="false">
      <c r="A63" s="2" t="s">
        <v>364</v>
      </c>
      <c r="B63" s="2" t="s">
        <v>70</v>
      </c>
      <c r="C63" s="2" t="s">
        <v>365</v>
      </c>
      <c r="D63" s="2" t="s">
        <v>35</v>
      </c>
      <c r="E63" s="3" t="s">
        <v>36</v>
      </c>
      <c r="F63" s="6" t="s">
        <v>366</v>
      </c>
      <c r="G63" s="2" t="s">
        <v>367</v>
      </c>
      <c r="H63" s="4" t="s">
        <v>85</v>
      </c>
      <c r="I63" s="2" t="s">
        <v>368</v>
      </c>
      <c r="J63" s="2" t="s">
        <v>38</v>
      </c>
      <c r="K63" s="2" t="s">
        <v>369</v>
      </c>
      <c r="L63" s="2" t="s">
        <v>370</v>
      </c>
    </row>
    <row r="64" customFormat="false" ht="23.85" hidden="false" customHeight="false" outlineLevel="0" collapsed="false">
      <c r="A64" s="2" t="s">
        <v>371</v>
      </c>
      <c r="B64" s="2" t="s">
        <v>65</v>
      </c>
      <c r="C64" s="2" t="s">
        <v>372</v>
      </c>
      <c r="D64" s="2" t="s">
        <v>43</v>
      </c>
      <c r="E64" s="4" t="s">
        <v>25</v>
      </c>
      <c r="F64" s="2" t="s">
        <v>373</v>
      </c>
      <c r="G64" s="2" t="s">
        <v>287</v>
      </c>
      <c r="H64" s="5" t="s">
        <v>28</v>
      </c>
      <c r="I64" s="2" t="s">
        <v>374</v>
      </c>
      <c r="J64" s="2" t="s">
        <v>30</v>
      </c>
      <c r="K64" s="2" t="s">
        <v>375</v>
      </c>
      <c r="L64" s="2" t="s">
        <v>373</v>
      </c>
    </row>
    <row r="65" customFormat="false" ht="23.85" hidden="false" customHeight="false" outlineLevel="0" collapsed="false">
      <c r="A65" s="2" t="s">
        <v>376</v>
      </c>
      <c r="B65" s="2" t="s">
        <v>13</v>
      </c>
      <c r="C65" s="2" t="s">
        <v>377</v>
      </c>
      <c r="D65" s="2" t="s">
        <v>378</v>
      </c>
      <c r="E65" s="4" t="s">
        <v>25</v>
      </c>
      <c r="F65" s="2" t="s">
        <v>379</v>
      </c>
      <c r="G65" s="2" t="s">
        <v>161</v>
      </c>
      <c r="H65" s="4" t="s">
        <v>85</v>
      </c>
      <c r="I65" s="2" t="s">
        <v>162</v>
      </c>
      <c r="J65" s="2" t="s">
        <v>30</v>
      </c>
      <c r="K65" s="2" t="s">
        <v>380</v>
      </c>
      <c r="L65" s="2" t="s">
        <v>379</v>
      </c>
    </row>
  </sheetData>
  <autoFilter ref="A1:L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8" t="s">
        <v>381</v>
      </c>
    </row>
    <row r="2" customFormat="false" ht="15" hidden="false" customHeight="false" outlineLevel="0" collapsed="false">
      <c r="A2" s="9" t="s">
        <v>382</v>
      </c>
    </row>
    <row r="4" customFormat="false" ht="15" hidden="false" customHeight="false" outlineLevel="0" collapsed="false">
      <c r="A4" s="10" t="s">
        <v>383</v>
      </c>
      <c r="B4" s="11"/>
      <c r="C4" s="11"/>
    </row>
    <row r="5" customFormat="false" ht="15" hidden="false" customHeight="false" outlineLevel="0" collapsed="false">
      <c r="A5" s="12" t="s">
        <v>384</v>
      </c>
      <c r="B5" s="13" t="n">
        <f aca="false">COUNTIF('Archive Census'!H2:H65,"yes")</f>
        <v>16</v>
      </c>
      <c r="C5" s="14" t="s">
        <v>385</v>
      </c>
    </row>
    <row r="6" customFormat="false" ht="15" hidden="false" customHeight="false" outlineLevel="0" collapsed="false">
      <c r="A6" s="12" t="s">
        <v>386</v>
      </c>
      <c r="B6" s="13" t="n">
        <f aca="false">COUNTIF('Archive Census'!H2:H65,"no")</f>
        <v>16</v>
      </c>
      <c r="C6" s="14" t="s">
        <v>387</v>
      </c>
    </row>
    <row r="7" customFormat="false" ht="15" hidden="false" customHeight="false" outlineLevel="0" collapsed="false">
      <c r="A7" s="12" t="s">
        <v>388</v>
      </c>
      <c r="B7" s="13" t="n">
        <f aca="false">COUNTIF('Archive Census'!H2:H65,"unknown")</f>
        <v>32</v>
      </c>
      <c r="C7" s="14" t="s">
        <v>389</v>
      </c>
    </row>
    <row r="8" customFormat="false" ht="15" hidden="false" customHeight="false" outlineLevel="0" collapsed="false">
      <c r="A8" s="12" t="s">
        <v>390</v>
      </c>
      <c r="B8" s="13" t="n">
        <f aca="false">SUM(B5:B7)</f>
        <v>64</v>
      </c>
      <c r="C8" s="14" t="s">
        <v>391</v>
      </c>
    </row>
    <row r="10" customFormat="false" ht="15" hidden="false" customHeight="false" outlineLevel="0" collapsed="false">
      <c r="A10" s="10" t="s">
        <v>392</v>
      </c>
      <c r="B10" s="11"/>
      <c r="C10" s="11"/>
    </row>
    <row r="11" customFormat="false" ht="15" hidden="false" customHeight="false" outlineLevel="0" collapsed="false">
      <c r="A11" s="12" t="s">
        <v>393</v>
      </c>
      <c r="B11" s="13" t="n">
        <f aca="false">COUNTIF('Archive Census'!E2:E65,"ok")</f>
        <v>31</v>
      </c>
      <c r="C11" s="14" t="s">
        <v>394</v>
      </c>
    </row>
    <row r="12" customFormat="false" ht="15" hidden="false" customHeight="false" outlineLevel="0" collapsed="false">
      <c r="A12" s="12" t="s">
        <v>395</v>
      </c>
      <c r="B12" s="13" t="n">
        <f aca="false">COUNTIF('Archive Census'!E2:E65,"robots_blocked")</f>
        <v>21</v>
      </c>
      <c r="C12" s="14" t="s">
        <v>396</v>
      </c>
    </row>
    <row r="13" customFormat="false" ht="15" hidden="false" customHeight="false" outlineLevel="0" collapsed="false">
      <c r="A13" s="12" t="s">
        <v>397</v>
      </c>
      <c r="B13" s="13" t="n">
        <f aca="false">COUNTIF('Archive Census'!E2:E65,"js_only")</f>
        <v>9</v>
      </c>
      <c r="C13" s="14" t="s">
        <v>398</v>
      </c>
    </row>
    <row r="14" customFormat="false" ht="15" hidden="false" customHeight="false" outlineLevel="0" collapsed="false">
      <c r="A14" s="12" t="s">
        <v>399</v>
      </c>
      <c r="B14" s="13" t="n">
        <f aca="false">COUNTIF('Archive Census'!E2:E65,"redirect")</f>
        <v>2</v>
      </c>
      <c r="C14" s="14" t="s">
        <v>400</v>
      </c>
    </row>
    <row r="15" customFormat="false" ht="15" hidden="false" customHeight="false" outlineLevel="0" collapsed="false">
      <c r="A15" s="12" t="s">
        <v>401</v>
      </c>
      <c r="B15" s="13" t="n">
        <f aca="false">COUNTIF('Archive Census'!E2:E65,"timeout")</f>
        <v>1</v>
      </c>
      <c r="C15" s="14" t="s">
        <v>402</v>
      </c>
    </row>
    <row r="17" customFormat="false" ht="15" hidden="false" customHeight="false" outlineLevel="0" collapsed="false">
      <c r="A17" s="12" t="s">
        <v>403</v>
      </c>
      <c r="B17" s="13" t="n">
        <f aca="false">SUMPRODUCT(--('Archive Census'!F2:F65&lt;&gt;'Archive Census'!L2:L65),--('Archive Census'!F2:F65&lt;&gt;"unknown"))</f>
        <v>32</v>
      </c>
      <c r="C17" s="14" t="s">
        <v>404</v>
      </c>
    </row>
    <row r="18" customFormat="false" ht="15" hidden="false" customHeight="false" outlineLevel="0" collapsed="false">
      <c r="A18" s="12" t="s">
        <v>405</v>
      </c>
      <c r="B18" s="13" t="n">
        <f aca="false">COUNTIF('Archive Census'!F2:F65,"unknown")</f>
        <v>8</v>
      </c>
      <c r="C18" s="14" t="s">
        <v>406</v>
      </c>
    </row>
    <row r="20" customFormat="false" ht="15" hidden="false" customHeight="false" outlineLevel="0" collapsed="false">
      <c r="A20" s="10" t="s">
        <v>407</v>
      </c>
      <c r="B20" s="11"/>
      <c r="C20" s="11"/>
    </row>
    <row r="21" customFormat="false" ht="15" hidden="false" customHeight="false" outlineLevel="0" collapsed="false">
      <c r="A21" s="12" t="s">
        <v>408</v>
      </c>
      <c r="B21" s="13" t="n">
        <f aca="false">COUNTIF('Archive Census'!D2:D65,"*CivicEngage*")</f>
        <v>21</v>
      </c>
      <c r="C21" s="14" t="s">
        <v>409</v>
      </c>
    </row>
    <row r="22" customFormat="false" ht="15" hidden="false" customHeight="false" outlineLevel="0" collapsed="false">
      <c r="A22" s="12" t="s">
        <v>104</v>
      </c>
      <c r="B22" s="13" t="n">
        <f aca="false">COUNTIF('Archive Census'!D2:D65,"*CivicClerk*")</f>
        <v>7</v>
      </c>
      <c r="C22" s="14" t="s">
        <v>410</v>
      </c>
    </row>
    <row r="23" customFormat="false" ht="15" hidden="false" customHeight="false" outlineLevel="0" collapsed="false">
      <c r="A23" s="12" t="s">
        <v>139</v>
      </c>
      <c r="B23" s="13" t="n">
        <f aca="false">COUNTIF('Archive Census'!D2:D65,"*Legistar*")</f>
        <v>5</v>
      </c>
      <c r="C23" s="14" t="s">
        <v>411</v>
      </c>
    </row>
    <row r="24" customFormat="false" ht="15" hidden="false" customHeight="false" outlineLevel="0" collapsed="false">
      <c r="A24" s="12" t="s">
        <v>412</v>
      </c>
      <c r="B24" s="13" t="n">
        <f aca="false">COUNTIF('Archive Census'!D2:D65,"*Custom*")</f>
        <v>19</v>
      </c>
      <c r="C24" s="14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4" min="3" style="0" width="5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414</v>
      </c>
      <c r="D1" s="1" t="s">
        <v>415</v>
      </c>
      <c r="E1" s="1" t="s">
        <v>416</v>
      </c>
    </row>
    <row r="2" customFormat="false" ht="23.85" hidden="false" customHeight="false" outlineLevel="0" collapsed="false">
      <c r="A2" s="2" t="s">
        <v>46</v>
      </c>
      <c r="B2" s="2" t="s">
        <v>47</v>
      </c>
      <c r="C2" s="2" t="s">
        <v>54</v>
      </c>
      <c r="D2" s="2" t="s">
        <v>50</v>
      </c>
      <c r="E2" s="2" t="s">
        <v>19</v>
      </c>
    </row>
    <row r="3" customFormat="false" ht="23.85" hidden="false" customHeight="false" outlineLevel="0" collapsed="false">
      <c r="A3" s="2" t="s">
        <v>74</v>
      </c>
      <c r="B3" s="2" t="s">
        <v>33</v>
      </c>
      <c r="C3" s="2" t="s">
        <v>79</v>
      </c>
      <c r="D3" s="2" t="s">
        <v>77</v>
      </c>
      <c r="E3" s="2" t="s">
        <v>19</v>
      </c>
    </row>
    <row r="4" customFormat="false" ht="35.05" hidden="false" customHeight="false" outlineLevel="0" collapsed="false">
      <c r="A4" s="2" t="s">
        <v>80</v>
      </c>
      <c r="B4" s="2" t="s">
        <v>13</v>
      </c>
      <c r="C4" s="2" t="s">
        <v>88</v>
      </c>
      <c r="D4" s="2" t="s">
        <v>83</v>
      </c>
      <c r="E4" s="2" t="s">
        <v>38</v>
      </c>
    </row>
    <row r="5" customFormat="false" ht="15" hidden="false" customHeight="false" outlineLevel="0" collapsed="false">
      <c r="A5" s="2" t="s">
        <v>89</v>
      </c>
      <c r="B5" s="2" t="s">
        <v>13</v>
      </c>
      <c r="C5" s="2" t="s">
        <v>94</v>
      </c>
      <c r="D5" s="2" t="s">
        <v>92</v>
      </c>
      <c r="E5" s="2" t="s">
        <v>30</v>
      </c>
    </row>
    <row r="6" customFormat="false" ht="15" hidden="false" customHeight="false" outlineLevel="0" collapsed="false">
      <c r="A6" s="2" t="s">
        <v>95</v>
      </c>
      <c r="B6" s="2" t="s">
        <v>96</v>
      </c>
      <c r="C6" s="2" t="s">
        <v>100</v>
      </c>
      <c r="D6" s="2" t="s">
        <v>98</v>
      </c>
      <c r="E6" s="2" t="s">
        <v>30</v>
      </c>
    </row>
    <row r="7" customFormat="false" ht="15" hidden="false" customHeight="false" outlineLevel="0" collapsed="false">
      <c r="A7" s="2" t="s">
        <v>101</v>
      </c>
      <c r="B7" s="2" t="s">
        <v>102</v>
      </c>
      <c r="C7" s="2" t="s">
        <v>109</v>
      </c>
      <c r="D7" s="2" t="s">
        <v>106</v>
      </c>
      <c r="E7" s="2" t="s">
        <v>107</v>
      </c>
    </row>
    <row r="8" customFormat="false" ht="15" hidden="false" customHeight="false" outlineLevel="0" collapsed="false">
      <c r="A8" s="2" t="s">
        <v>110</v>
      </c>
      <c r="B8" s="2" t="s">
        <v>56</v>
      </c>
      <c r="C8" s="2" t="s">
        <v>115</v>
      </c>
      <c r="D8" s="2" t="s">
        <v>113</v>
      </c>
      <c r="E8" s="2" t="s">
        <v>38</v>
      </c>
    </row>
    <row r="9" customFormat="false" ht="15" hidden="false" customHeight="false" outlineLevel="0" collapsed="false">
      <c r="A9" s="2" t="s">
        <v>116</v>
      </c>
      <c r="B9" s="2" t="s">
        <v>65</v>
      </c>
      <c r="C9" s="2" t="s">
        <v>120</v>
      </c>
      <c r="D9" s="2" t="s">
        <v>118</v>
      </c>
      <c r="E9" s="2" t="s">
        <v>38</v>
      </c>
    </row>
    <row r="10" customFormat="false" ht="15" hidden="false" customHeight="false" outlineLevel="0" collapsed="false">
      <c r="A10" s="2" t="s">
        <v>125</v>
      </c>
      <c r="B10" s="2" t="s">
        <v>126</v>
      </c>
      <c r="C10" s="2" t="s">
        <v>129</v>
      </c>
      <c r="D10" s="2" t="s">
        <v>127</v>
      </c>
      <c r="E10" s="2" t="s">
        <v>38</v>
      </c>
    </row>
    <row r="11" customFormat="false" ht="15" hidden="false" customHeight="false" outlineLevel="0" collapsed="false">
      <c r="A11" s="2" t="s">
        <v>137</v>
      </c>
      <c r="B11" s="2" t="s">
        <v>96</v>
      </c>
      <c r="C11" s="2" t="s">
        <v>142</v>
      </c>
      <c r="D11" s="2" t="s">
        <v>140</v>
      </c>
      <c r="E11" s="2" t="s">
        <v>30</v>
      </c>
    </row>
    <row r="12" customFormat="false" ht="15" hidden="false" customHeight="false" outlineLevel="0" collapsed="false">
      <c r="A12" s="2" t="s">
        <v>152</v>
      </c>
      <c r="B12" s="2" t="s">
        <v>47</v>
      </c>
      <c r="C12" s="2" t="s">
        <v>156</v>
      </c>
      <c r="D12" s="2" t="s">
        <v>18</v>
      </c>
      <c r="E12" s="2" t="s">
        <v>38</v>
      </c>
    </row>
    <row r="13" customFormat="false" ht="15" hidden="false" customHeight="false" outlineLevel="0" collapsed="false">
      <c r="A13" s="2" t="s">
        <v>157</v>
      </c>
      <c r="B13" s="2" t="s">
        <v>47</v>
      </c>
      <c r="C13" s="2" t="s">
        <v>164</v>
      </c>
      <c r="D13" s="2" t="s">
        <v>160</v>
      </c>
      <c r="E13" s="2" t="s">
        <v>30</v>
      </c>
    </row>
    <row r="14" customFormat="false" ht="23.85" hidden="false" customHeight="false" outlineLevel="0" collapsed="false">
      <c r="A14" s="2" t="s">
        <v>171</v>
      </c>
      <c r="B14" s="2" t="s">
        <v>96</v>
      </c>
      <c r="C14" s="2" t="s">
        <v>174</v>
      </c>
      <c r="D14" s="2" t="s">
        <v>172</v>
      </c>
      <c r="E14" s="2" t="s">
        <v>30</v>
      </c>
    </row>
    <row r="15" customFormat="false" ht="15" hidden="false" customHeight="false" outlineLevel="0" collapsed="false">
      <c r="A15" s="2" t="s">
        <v>175</v>
      </c>
      <c r="B15" s="2" t="s">
        <v>22</v>
      </c>
      <c r="C15" s="2" t="s">
        <v>179</v>
      </c>
      <c r="D15" s="2" t="s">
        <v>18</v>
      </c>
      <c r="E15" s="2" t="s">
        <v>38</v>
      </c>
    </row>
    <row r="16" customFormat="false" ht="15" hidden="false" customHeight="false" outlineLevel="0" collapsed="false">
      <c r="A16" s="2" t="s">
        <v>180</v>
      </c>
      <c r="B16" s="2" t="s">
        <v>41</v>
      </c>
      <c r="C16" s="2" t="s">
        <v>184</v>
      </c>
      <c r="D16" s="2" t="s">
        <v>182</v>
      </c>
      <c r="E16" s="2" t="s">
        <v>30</v>
      </c>
    </row>
    <row r="17" customFormat="false" ht="23.85" hidden="false" customHeight="false" outlineLevel="0" collapsed="false">
      <c r="A17" s="2" t="s">
        <v>185</v>
      </c>
      <c r="B17" s="2" t="s">
        <v>22</v>
      </c>
      <c r="C17" s="2" t="s">
        <v>191</v>
      </c>
      <c r="D17" s="2" t="s">
        <v>187</v>
      </c>
      <c r="E17" s="2" t="s">
        <v>107</v>
      </c>
    </row>
    <row r="18" customFormat="false" ht="15" hidden="false" customHeight="false" outlineLevel="0" collapsed="false">
      <c r="A18" s="2" t="s">
        <v>192</v>
      </c>
      <c r="B18" s="2" t="s">
        <v>47</v>
      </c>
      <c r="C18" s="2" t="s">
        <v>194</v>
      </c>
      <c r="D18" s="2" t="s">
        <v>18</v>
      </c>
      <c r="E18" s="2" t="s">
        <v>38</v>
      </c>
    </row>
    <row r="19" customFormat="false" ht="23.85" hidden="false" customHeight="false" outlineLevel="0" collapsed="false">
      <c r="A19" s="2" t="s">
        <v>195</v>
      </c>
      <c r="B19" s="2" t="s">
        <v>47</v>
      </c>
      <c r="C19" s="2" t="s">
        <v>202</v>
      </c>
      <c r="D19" s="2" t="s">
        <v>198</v>
      </c>
      <c r="E19" s="2" t="s">
        <v>38</v>
      </c>
    </row>
    <row r="20" customFormat="false" ht="15" hidden="false" customHeight="false" outlineLevel="0" collapsed="false">
      <c r="A20" s="2" t="s">
        <v>214</v>
      </c>
      <c r="B20" s="2" t="s">
        <v>131</v>
      </c>
      <c r="C20" s="2" t="s">
        <v>219</v>
      </c>
      <c r="D20" s="2" t="s">
        <v>217</v>
      </c>
      <c r="E20" s="2" t="s">
        <v>38</v>
      </c>
    </row>
    <row r="21" customFormat="false" ht="23.85" hidden="false" customHeight="false" outlineLevel="0" collapsed="false">
      <c r="A21" s="2" t="s">
        <v>235</v>
      </c>
      <c r="B21" s="2" t="s">
        <v>47</v>
      </c>
      <c r="C21" s="2" t="s">
        <v>239</v>
      </c>
      <c r="D21" s="2" t="s">
        <v>237</v>
      </c>
      <c r="E21" s="2" t="s">
        <v>30</v>
      </c>
    </row>
    <row r="22" customFormat="false" ht="15" hidden="false" customHeight="false" outlineLevel="0" collapsed="false">
      <c r="A22" s="2" t="s">
        <v>240</v>
      </c>
      <c r="B22" s="2" t="s">
        <v>65</v>
      </c>
      <c r="C22" s="2" t="s">
        <v>244</v>
      </c>
      <c r="D22" s="2" t="s">
        <v>242</v>
      </c>
      <c r="E22" s="2" t="s">
        <v>30</v>
      </c>
    </row>
    <row r="23" customFormat="false" ht="23.85" hidden="false" customHeight="false" outlineLevel="0" collapsed="false">
      <c r="A23" s="2" t="s">
        <v>245</v>
      </c>
      <c r="B23" s="2" t="s">
        <v>47</v>
      </c>
      <c r="C23" s="2" t="s">
        <v>248</v>
      </c>
      <c r="D23" s="2" t="s">
        <v>18</v>
      </c>
      <c r="E23" s="2" t="s">
        <v>38</v>
      </c>
    </row>
    <row r="24" customFormat="false" ht="15" hidden="false" customHeight="false" outlineLevel="0" collapsed="false">
      <c r="A24" s="2" t="s">
        <v>249</v>
      </c>
      <c r="B24" s="2" t="s">
        <v>70</v>
      </c>
      <c r="C24" s="2" t="s">
        <v>255</v>
      </c>
      <c r="D24" s="2" t="s">
        <v>251</v>
      </c>
      <c r="E24" s="2" t="s">
        <v>38</v>
      </c>
    </row>
    <row r="25" customFormat="false" ht="15" hidden="false" customHeight="false" outlineLevel="0" collapsed="false">
      <c r="A25" s="2" t="s">
        <v>256</v>
      </c>
      <c r="B25" s="2" t="s">
        <v>56</v>
      </c>
      <c r="C25" s="2" t="s">
        <v>262</v>
      </c>
      <c r="D25" s="2" t="s">
        <v>258</v>
      </c>
      <c r="E25" s="2" t="s">
        <v>30</v>
      </c>
    </row>
    <row r="26" customFormat="false" ht="15" hidden="false" customHeight="false" outlineLevel="0" collapsed="false">
      <c r="A26" s="2" t="s">
        <v>263</v>
      </c>
      <c r="B26" s="2" t="s">
        <v>13</v>
      </c>
      <c r="C26" s="2" t="s">
        <v>269</v>
      </c>
      <c r="D26" s="2" t="s">
        <v>265</v>
      </c>
      <c r="E26" s="2" t="s">
        <v>30</v>
      </c>
    </row>
    <row r="27" customFormat="false" ht="15" hidden="false" customHeight="false" outlineLevel="0" collapsed="false">
      <c r="A27" s="2" t="s">
        <v>270</v>
      </c>
      <c r="B27" s="2" t="s">
        <v>96</v>
      </c>
      <c r="C27" s="2" t="s">
        <v>273</v>
      </c>
      <c r="D27" s="2" t="s">
        <v>18</v>
      </c>
      <c r="E27" s="2" t="s">
        <v>38</v>
      </c>
    </row>
    <row r="28" customFormat="false" ht="15" hidden="false" customHeight="false" outlineLevel="0" collapsed="false">
      <c r="A28" s="2" t="s">
        <v>274</v>
      </c>
      <c r="B28" s="2" t="s">
        <v>13</v>
      </c>
      <c r="C28" s="2" t="s">
        <v>278</v>
      </c>
      <c r="D28" s="2" t="s">
        <v>276</v>
      </c>
      <c r="E28" s="2" t="s">
        <v>30</v>
      </c>
    </row>
    <row r="29" customFormat="false" ht="15" hidden="false" customHeight="false" outlineLevel="0" collapsed="false">
      <c r="A29" s="2" t="s">
        <v>279</v>
      </c>
      <c r="B29" s="2" t="s">
        <v>102</v>
      </c>
      <c r="C29" s="2" t="s">
        <v>283</v>
      </c>
      <c r="D29" s="2" t="s">
        <v>281</v>
      </c>
      <c r="E29" s="2" t="s">
        <v>30</v>
      </c>
    </row>
    <row r="30" customFormat="false" ht="15" hidden="false" customHeight="false" outlineLevel="0" collapsed="false">
      <c r="A30" s="2" t="s">
        <v>284</v>
      </c>
      <c r="B30" s="2" t="s">
        <v>102</v>
      </c>
      <c r="C30" s="2" t="s">
        <v>290</v>
      </c>
      <c r="D30" s="2" t="s">
        <v>286</v>
      </c>
      <c r="E30" s="2" t="s">
        <v>30</v>
      </c>
    </row>
    <row r="31" customFormat="false" ht="15" hidden="false" customHeight="false" outlineLevel="0" collapsed="false">
      <c r="A31" s="2" t="s">
        <v>291</v>
      </c>
      <c r="B31" s="2" t="s">
        <v>70</v>
      </c>
      <c r="C31" s="2" t="s">
        <v>294</v>
      </c>
      <c r="D31" s="2" t="s">
        <v>18</v>
      </c>
      <c r="E31" s="2" t="s">
        <v>38</v>
      </c>
    </row>
    <row r="32" customFormat="false" ht="15" hidden="false" customHeight="false" outlineLevel="0" collapsed="false">
      <c r="A32" s="2" t="s">
        <v>295</v>
      </c>
      <c r="B32" s="2" t="s">
        <v>70</v>
      </c>
      <c r="C32" s="2" t="s">
        <v>300</v>
      </c>
      <c r="D32" s="2" t="s">
        <v>298</v>
      </c>
      <c r="E32" s="2" t="s">
        <v>30</v>
      </c>
    </row>
    <row r="33" customFormat="false" ht="15" hidden="false" customHeight="false" outlineLevel="0" collapsed="false">
      <c r="A33" s="2" t="s">
        <v>301</v>
      </c>
      <c r="B33" s="2" t="s">
        <v>131</v>
      </c>
      <c r="C33" s="2" t="s">
        <v>304</v>
      </c>
      <c r="D33" s="2" t="s">
        <v>302</v>
      </c>
      <c r="E33" s="2" t="s">
        <v>38</v>
      </c>
    </row>
    <row r="34" customFormat="false" ht="15" hidden="false" customHeight="false" outlineLevel="0" collapsed="false">
      <c r="A34" s="2" t="s">
        <v>305</v>
      </c>
      <c r="B34" s="2" t="s">
        <v>13</v>
      </c>
      <c r="C34" s="2" t="s">
        <v>308</v>
      </c>
      <c r="D34" s="2" t="s">
        <v>18</v>
      </c>
      <c r="E34" s="2" t="s">
        <v>38</v>
      </c>
    </row>
    <row r="35" customFormat="false" ht="15" hidden="false" customHeight="false" outlineLevel="0" collapsed="false">
      <c r="A35" s="2" t="s">
        <v>309</v>
      </c>
      <c r="B35" s="2" t="s">
        <v>102</v>
      </c>
      <c r="C35" s="2" t="s">
        <v>314</v>
      </c>
      <c r="D35" s="2" t="s">
        <v>312</v>
      </c>
      <c r="E35" s="2" t="s">
        <v>19</v>
      </c>
    </row>
    <row r="36" customFormat="false" ht="15" hidden="false" customHeight="false" outlineLevel="0" collapsed="false">
      <c r="A36" s="2" t="s">
        <v>323</v>
      </c>
      <c r="B36" s="2" t="s">
        <v>96</v>
      </c>
      <c r="C36" s="2" t="s">
        <v>326</v>
      </c>
      <c r="D36" s="2" t="s">
        <v>18</v>
      </c>
      <c r="E36" s="2" t="s">
        <v>38</v>
      </c>
    </row>
    <row r="37" customFormat="false" ht="23.85" hidden="false" customHeight="false" outlineLevel="0" collapsed="false">
      <c r="A37" s="2" t="s">
        <v>331</v>
      </c>
      <c r="B37" s="2" t="s">
        <v>22</v>
      </c>
      <c r="C37" s="2" t="s">
        <v>338</v>
      </c>
      <c r="D37" s="2" t="s">
        <v>334</v>
      </c>
      <c r="E37" s="2" t="s">
        <v>30</v>
      </c>
    </row>
    <row r="38" customFormat="false" ht="35.05" hidden="false" customHeight="false" outlineLevel="0" collapsed="false">
      <c r="A38" s="2" t="s">
        <v>343</v>
      </c>
      <c r="B38" s="2" t="s">
        <v>102</v>
      </c>
      <c r="C38" s="2" t="s">
        <v>350</v>
      </c>
      <c r="D38" s="2" t="s">
        <v>346</v>
      </c>
      <c r="E38" s="2" t="s">
        <v>30</v>
      </c>
    </row>
    <row r="39" customFormat="false" ht="15" hidden="false" customHeight="false" outlineLevel="0" collapsed="false">
      <c r="A39" s="2" t="s">
        <v>351</v>
      </c>
      <c r="B39" s="2" t="s">
        <v>56</v>
      </c>
      <c r="C39" s="2" t="s">
        <v>356</v>
      </c>
      <c r="D39" s="2" t="s">
        <v>354</v>
      </c>
      <c r="E39" s="2" t="s">
        <v>30</v>
      </c>
    </row>
    <row r="40" customFormat="false" ht="15" hidden="false" customHeight="false" outlineLevel="0" collapsed="false">
      <c r="A40" s="2" t="s">
        <v>357</v>
      </c>
      <c r="B40" s="2" t="s">
        <v>96</v>
      </c>
      <c r="C40" s="2" t="s">
        <v>363</v>
      </c>
      <c r="D40" s="2" t="s">
        <v>360</v>
      </c>
      <c r="E40" s="2" t="s">
        <v>361</v>
      </c>
    </row>
    <row r="41" customFormat="false" ht="15" hidden="false" customHeight="false" outlineLevel="0" collapsed="false">
      <c r="A41" s="2" t="s">
        <v>364</v>
      </c>
      <c r="B41" s="2" t="s">
        <v>70</v>
      </c>
      <c r="C41" s="2" t="s">
        <v>370</v>
      </c>
      <c r="D41" s="2" t="s">
        <v>366</v>
      </c>
      <c r="E41" s="2" t="s">
        <v>38</v>
      </c>
    </row>
  </sheetData>
  <autoFilter ref="A1:E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8" t="s">
        <v>417</v>
      </c>
    </row>
    <row r="2" customFormat="false" ht="15" hidden="false" customHeight="false" outlineLevel="0" collapsed="false">
      <c r="A2" s="15"/>
      <c r="B2" s="16"/>
    </row>
    <row r="3" customFormat="false" ht="15" hidden="false" customHeight="false" outlineLevel="0" collapsed="false">
      <c r="A3" s="15" t="s">
        <v>418</v>
      </c>
      <c r="B3" s="16" t="s">
        <v>419</v>
      </c>
    </row>
    <row r="4" customFormat="false" ht="15" hidden="false" customHeight="false" outlineLevel="0" collapsed="false">
      <c r="A4" s="15" t="s">
        <v>420</v>
      </c>
      <c r="B4" s="16" t="s">
        <v>421</v>
      </c>
    </row>
    <row r="5" customFormat="false" ht="23.85" hidden="false" customHeight="false" outlineLevel="0" collapsed="false">
      <c r="A5" s="15" t="s">
        <v>422</v>
      </c>
      <c r="B5" s="16" t="s">
        <v>423</v>
      </c>
    </row>
    <row r="6" customFormat="false" ht="15" hidden="false" customHeight="false" outlineLevel="0" collapsed="false">
      <c r="A6" s="15" t="s">
        <v>424</v>
      </c>
      <c r="B6" s="16" t="s">
        <v>425</v>
      </c>
    </row>
    <row r="7" customFormat="false" ht="15" hidden="false" customHeight="false" outlineLevel="0" collapsed="false">
      <c r="A7" s="15" t="s">
        <v>426</v>
      </c>
      <c r="B7" s="16" t="s">
        <v>427</v>
      </c>
    </row>
    <row r="8" customFormat="false" ht="15" hidden="false" customHeight="false" outlineLevel="0" collapsed="false">
      <c r="A8" s="15"/>
      <c r="B8" s="16"/>
    </row>
    <row r="9" customFormat="false" ht="23.85" hidden="false" customHeight="false" outlineLevel="0" collapsed="false">
      <c r="A9" s="15" t="s">
        <v>428</v>
      </c>
      <c r="B9" s="16" t="s">
        <v>429</v>
      </c>
    </row>
    <row r="10" customFormat="false" ht="23.85" hidden="false" customHeight="false" outlineLevel="0" collapsed="false">
      <c r="A10" s="15" t="s">
        <v>430</v>
      </c>
      <c r="B10" s="16" t="s">
        <v>431</v>
      </c>
    </row>
    <row r="11" customFormat="false" ht="35.05" hidden="false" customHeight="false" outlineLevel="0" collapsed="false">
      <c r="A11" s="15" t="s">
        <v>432</v>
      </c>
      <c r="B11" s="16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2026-07-30T02:21:47Z</dcterms:created>
  <dc:creator>openpyxl</dc:creator>
  <dc:description/>
  <dc:language>en-US</dc:language>
  <cp:lastModifiedBy/>
  <dcterms:modified xsi:type="dcterms:W3CDTF">2026-07-30T02:21:47Z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